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2.xml.rels" ContentType="application/vnd.openxmlformats-package.relationships+xml"/>
  <Override PartName="/xl/drawings/_rels/drawing1.xml.rels" ContentType="application/vnd.openxmlformats-package.relationships+xml"/>
  <Override PartName="/xl/drawings/drawing3.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eam Summary" sheetId="1" state="visible" r:id="rId3"/>
    <sheet name="Agent Scorecard" sheetId="2" state="visible" r:id="rId4"/>
    <sheet name="Day over Day" sheetId="3" state="visible" r:id="rId5"/>
    <sheet name="Coaching Log" sheetId="4" state="visible" r:id="rId6"/>
    <sheet name="Team Data" sheetId="5" state="visible" r:id="rId7"/>
  </sheets>
  <definedNames>
    <definedName function="false" hidden="true" localSheetId="4" name="_xlnm._FilterDatabase" vbProcedure="false">'Team Data'!$A$1:$J$27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<sst xmlns="http://schemas.openxmlformats.org/spreadsheetml/2006/main" count="405" uniqueCount="178">
  <si>
    <t xml:space="preserve">My Team — NPS Detractor Insights</t>
  </si>
  <si>
    <t xml:space="preserve">VXI · Comcast · 12 agents · 26 unique surveys (25-Sep → 06-Oct-2026) · scrubbed by Omar Mansour</t>
  </si>
  <si>
    <t xml:space="preserve">Surveys</t>
  </si>
  <si>
    <t xml:space="preserve">Agent Opp %</t>
  </si>
  <si>
    <t xml:space="preserve">Comcast %</t>
  </si>
  <si>
    <t xml:space="preserve">Customer %</t>
  </si>
  <si>
    <t xml:space="preserve">No Audio %</t>
  </si>
  <si>
    <t xml:space="preserve">Agents to Coach</t>
  </si>
  <si>
    <t xml:space="preserve">Key Insights</t>
  </si>
  <si>
    <t xml:space="preserve">1. 11 of 26 surveys (42%) are agent-controllable. The other 58% are Comcast issues (outage, technician, restrictions), customer-side, or no audio, so they are outside the agent's control. The account rate is 64%.</t>
  </si>
  <si>
    <t xml:space="preserve">2. Communication / Soft Skills drives 6 of the 11 Agent Opp detractors (55%): empathy, listening to what the customer is actually asking, and setting expectations.</t>
  </si>
  <si>
    <t xml:space="preserve">3. 3 agents account for 7 of the 11 (64%): bp-akahal350 (3), bp-mammar838 (2), bp-mtadro821 (2). Focus coaching here first.</t>
  </si>
  <si>
    <t xml:space="preserve">4. Day over day: 06-Oct was the busiest survey day (5 detractors, but only 1 Agent Opp). 05-Oct had the highest Agent Opp share (2 of 3). 28-Sep and 01-Oct each had 2 Agent Opp.</t>
  </si>
  <si>
    <t xml:space="preserve">5. Hold/Mute and dropped calls (mtadro821, aelshe876, ahassa042) are repeat-call risks. Link them to aiCR.</t>
  </si>
  <si>
    <t xml:space="preserve">6. 5 agents have NO controllable detractor (okamel106, yabdel208, aali048, jsolim238, mmahmo022), and aelshe876 received 2 positive-feedback comments from customers. Recognise them in the team huddle.</t>
  </si>
  <si>
    <t xml:space="preserve">Actions by KPI</t>
  </si>
  <si>
    <t xml:space="preserve">▶ QA: 1:1 side-by-side for akahal350, mammar838 and mtadro821 this week. Use the scrub evidence in the Coaching Log.</t>
  </si>
  <si>
    <t xml:space="preserve">▶ Repeat (aiCR): coach ownership (call back after a disconnect) and resolving the primary reason first. Re-check these BPIDs on aiCR in 14 days.</t>
  </si>
  <si>
    <t xml:space="preserve">▶ Transfer: yawade572 should warm-transfer with empathy and explain the reason, especially for repeat callers.</t>
  </si>
  <si>
    <t xml:space="preserve">▶ Team leaders (newly promoted): split the 6 agents to coach (High + Medium) across your 3 TLs in the Agent Scorecard (yellow column), then log each session in the Coaching Log.</t>
  </si>
  <si>
    <t xml:space="preserve">▶ Huddle topic of the week: "Acknowledge → Validate → Resolve → Set expectations" (covers 55% of team AO).</t>
  </si>
  <si>
    <t xml:space="preserve">Rates and counts are live formulas on Team Data. Insight text was written from the data on 07-Oct-2026. Duplicates were removed (latest submission kept) and the test row was excluded.</t>
  </si>
  <si>
    <t xml:space="preserve">My Team — Agent Scorecard</t>
  </si>
  <si>
    <t xml:space="preserve">12 agents · NPS detractor scrubs · unique surveys · sorted by coaching priority</t>
  </si>
  <si>
    <t xml:space="preserve">BPID</t>
  </si>
  <si>
    <t xml:space="preserve">Agent</t>
  </si>
  <si>
    <t xml:space="preserve">Agent Opp</t>
  </si>
  <si>
    <t xml:space="preserve">Comcast</t>
  </si>
  <si>
    <t xml:space="preserve">Customer</t>
  </si>
  <si>
    <t xml:space="preserve">No Audio</t>
  </si>
  <si>
    <t xml:space="preserve">Main Agent Opp Driver</t>
  </si>
  <si>
    <t xml:space="preserve">Priority</t>
  </si>
  <si>
    <t xml:space="preserve">Coaching Action</t>
  </si>
  <si>
    <t xml:space="preserve">KPI Link</t>
  </si>
  <si>
    <t xml:space="preserve">Team Leader (fill in)</t>
  </si>
  <si>
    <t xml:space="preserve">Coached? (fill in)</t>
  </si>
  <si>
    <t xml:space="preserve">bp-akahal350</t>
  </si>
  <si>
    <t xml:space="preserve">Ahmed</t>
  </si>
  <si>
    <t xml:space="preserve">Communication / Soft Skills</t>
  </si>
  <si>
    <t xml:space="preserve">High</t>
  </si>
  <si>
    <t xml:space="preserve">Discovery &amp; needs-based offers: listen to affordability concerns before pitching equipment/packages; no promises the fix will work.</t>
  </si>
  <si>
    <t xml:space="preserve">QA · Repeat (aiCR)</t>
  </si>
  <si>
    <t xml:space="preserve">bp-mammar838</t>
  </si>
  <si>
    <t xml:space="preserve">Mohammed</t>
  </si>
  <si>
    <t xml:space="preserve">Validate outage/network status BEFORE diagnosing ("it's just you" was wrong); active listening on refusals; set pricing/promo expectations.</t>
  </si>
  <si>
    <t xml:space="preserve">bp-mtadro821</t>
  </si>
  <si>
    <t xml:space="preserve">—</t>
  </si>
  <si>
    <t xml:space="preserve">Incorrect/ Incomplete Resolution</t>
  </si>
  <si>
    <t xml:space="preserve">Resolve the primary reason first (payment extension) before offers; hold/mute etiquette — check in every 2 min.</t>
  </si>
  <si>
    <t xml:space="preserve">bp-ahassa042</t>
  </si>
  <si>
    <t xml:space="preserve">Ownership</t>
  </si>
  <si>
    <t xml:space="preserve">Medium</t>
  </si>
  <si>
    <t xml:space="preserve">Ownership: always call back after a dropped call.</t>
  </si>
  <si>
    <t xml:space="preserve">Repeat (aiCR)</t>
  </si>
  <si>
    <t xml:space="preserve">bp-maboel157</t>
  </si>
  <si>
    <t xml:space="preserve">Give the accurate root cause; do not position an upgrade as the fix for an outage.</t>
  </si>
  <si>
    <t xml:space="preserve">bp-yawade572</t>
  </si>
  <si>
    <t xml:space="preserve">Youssef</t>
  </si>
  <si>
    <t xml:space="preserve">Before transferring a frustrated repeat caller: empathy first, explain why and where the call is going (warm transfer).</t>
  </si>
  <si>
    <t xml:space="preserve">Transfer · QA</t>
  </si>
  <si>
    <t xml:space="preserve">bp-aelshe876</t>
  </si>
  <si>
    <t xml:space="preserve">Amr</t>
  </si>
  <si>
    <t xml:space="preserve">Excessive Hold/Mute</t>
  </si>
  <si>
    <t xml:space="preserve">Low</t>
  </si>
  <si>
    <t xml:space="preserve">Recognise: customers praised his patience. One fix: keep the customer updated while working with back office (no long silence).</t>
  </si>
  <si>
    <t xml:space="preserve">QA</t>
  </si>
  <si>
    <t xml:space="preserve">bp-jsolim238</t>
  </si>
  <si>
    <t xml:space="preserve">Jana</t>
  </si>
  <si>
    <t xml:space="preserve">Detractor was a prior agent's miss. Tip: give a clear, structured plan for unresolved refunds instead of general reassurance.</t>
  </si>
  <si>
    <t xml:space="preserve">bp-aali048</t>
  </si>
  <si>
    <t xml:space="preserve">None</t>
  </si>
  <si>
    <t xml:space="preserve">Non-controllable (outage); comment notes good empathy. Recognise.</t>
  </si>
  <si>
    <t xml:space="preserve">bp-mmahmo022</t>
  </si>
  <si>
    <t xml:space="preserve">No audio — no assessment possible.</t>
  </si>
  <si>
    <t xml:space="preserve">bp-okamel106</t>
  </si>
  <si>
    <t xml:space="preserve">Omar</t>
  </si>
  <si>
    <t xml:space="preserve">Non-controllable (tech/wiring, authentication). Recognise.</t>
  </si>
  <si>
    <t xml:space="preserve">bp-yabdel208</t>
  </si>
  <si>
    <t xml:space="preserve">Non-controllable (repeated service failures). Recognise.</t>
  </si>
  <si>
    <t xml:space="preserve">TEAM TOTAL</t>
  </si>
  <si>
    <t xml:space="preserve">Yellow cells = fill in (assign each agent to one of your 3 team leaders; mark Coached? Yes/No/Scheduled). Agent names are taken from scrub comments where mentioned; Main Driver, Priority and Coaching Action written from the scrub evidence.</t>
  </si>
  <si>
    <t xml:space="preserve">My Team — Day over Day</t>
  </si>
  <si>
    <t xml:space="preserve">By Survey Date (the day the customer was surveyed) · 25-Sep → 06-Oct-2026</t>
  </si>
  <si>
    <t xml:space="preserve">Survey Date</t>
  </si>
  <si>
    <t xml:space="preserve">DoD Δ Surveys</t>
  </si>
  <si>
    <t xml:space="preserve">DoD Δ Agent Opp</t>
  </si>
  <si>
    <t xml:space="preserve">Agents with AO</t>
  </si>
  <si>
    <t xml:space="preserve">bp-ahassa042, bp-akahal350</t>
  </si>
  <si>
    <t xml:space="preserve">bp-akahal350, bp-mammar838</t>
  </si>
  <si>
    <t xml:space="preserve">bp-mammar838, bp-mtadro821</t>
  </si>
  <si>
    <t xml:space="preserve">TOTAL</t>
  </si>
  <si>
    <t xml:space="preserve">Survey Date used (not scrub date) because all team scrubs were submitted on only 3 days. Δ in red = more detractors than the day before. "Agents with AO" computed in Python.</t>
  </si>
  <si>
    <t xml:space="preserve">My Team — Coaching Log (Agent Opportunity detractors)</t>
  </si>
  <si>
    <t xml:space="preserve">One row per controllable detractor · evidence from the scrub · yellow = fill in</t>
  </si>
  <si>
    <t xml:space="preserve">Survey ID</t>
  </si>
  <si>
    <t xml:space="preserve">RCA T2</t>
  </si>
  <si>
    <t xml:space="preserve">Scrub Evidence</t>
  </si>
  <si>
    <t xml:space="preserve">Behaviour to Coach</t>
  </si>
  <si>
    <t xml:space="preserve">Team Leader</t>
  </si>
  <si>
    <t xml:space="preserve">Coaching Date</t>
  </si>
  <si>
    <t xml:space="preserve">Agent Commitment</t>
  </si>
  <si>
    <t xml:space="preserve">Follow-up Date</t>
  </si>
  <si>
    <t xml:space="preserve">Status</t>
  </si>
  <si>
    <t xml:space="preserve">2194198617</t>
  </si>
  <si>
    <t xml:space="preserve">Pure Handling Skills </t>
  </si>
  <si>
    <t xml:space="preserve">Active listening, empathy &amp; reassurance; acknowledge concern before solutioning</t>
  </si>
  <si>
    <t xml:space="preserve">2196171839</t>
  </si>
  <si>
    <t xml:space="preserve">Knowledge Gap</t>
  </si>
  <si>
    <t xml:space="preserve">Discovery / Identifying Customer Needs / Offering Relevant Solutions</t>
  </si>
  <si>
    <t xml:space="preserve">Discovery questions → needs-based solution</t>
  </si>
  <si>
    <t xml:space="preserve">2197295862</t>
  </si>
  <si>
    <t xml:space="preserve">The customer wanted reliable internet without another significant price increase. Ahmed concentrated on presenting equipment and package solutions while the customer continued expressing concerns about affordability and whether the changes would actually work. One important distinction: the existing internet problems and price increases were Comcast-driven, but Ahmed's communication, diagnosis, and promises were controllable</t>
  </si>
  <si>
    <t xml:space="preserve">2194926007</t>
  </si>
  <si>
    <t xml:space="preserve">Controllable — because Mohammed controlled whether he listened to the customer's repeated refusal, kept the interaction focused on the TV issue, and explained the troubleshooting steps clearly.</t>
  </si>
  <si>
    <t xml:space="preserve">2196122081</t>
  </si>
  <si>
    <t xml:space="preserve">HSD Repair - Controllable — not because the agent controlled the available pricing, but because empathy, expectation-setting, and clarity around promotional eligibility could have been stronger.</t>
  </si>
  <si>
    <t xml:space="preserve">2194889759</t>
  </si>
  <si>
    <t xml:space="preserve">the customer called to protect her service while delaying payment until October 10, but the conversation became centered on changing her plan and additional offers before that core concern was clearly and safely resolved.</t>
  </si>
  <si>
    <t xml:space="preserve">Resolve primary reason first; confirm resolution before offers</t>
  </si>
  <si>
    <t xml:space="preserve">2197495330</t>
  </si>
  <si>
    <t xml:space="preserve">Excessive Hold/Mute, Customer Education – Setting Expectations, Communication / Rapport</t>
  </si>
  <si>
    <t xml:space="preserve">Hold etiquette: ask permission, check in every 2 min, no silent gaps</t>
  </si>
  <si>
    <t xml:space="preserve">2197465776</t>
  </si>
  <si>
    <t xml:space="preserve">Call got disconnected and the customer was never called back </t>
  </si>
  <si>
    <t xml:space="preserve">Own the call end-to-end; call back after a disconnect</t>
  </si>
  <si>
    <t xml:space="preserve">30003055651790377517</t>
  </si>
  <si>
    <t xml:space="preserve">Customer contacted regarding internet being disconnected for approximately 3 days. Agent verified the account and completed troubleshooting, and the connection was restored. However, during troubleshooting, the agent advised that the likely cause of the issue was the customer being on a legacy package and stated that upgrading to a next-generation package would help avoid future outages. This was not supported by the interaction, especially since the customer mentioned recent repair work in the area and service was restored through troubleshooting. The sales positioning created additional dissatisfaction around pricing. Classified as Agent Opportunity – Incorrect/Incomplete Resolution.</t>
  </si>
  <si>
    <t xml:space="preserve">2195770811</t>
  </si>
  <si>
    <t xml:space="preserve">he made the correct decision to route the customer, but with a repeat-contact customer this frustrated, the experience needs stronger empathy upfront and a much clearer explanation of exactly what is happening before another transfer.</t>
  </si>
  <si>
    <t xml:space="preserve">2197129523</t>
  </si>
  <si>
    <t xml:space="preserve">Amr demonstrated good empathy and reassurance early in the call. The customer clearly felt heard initially, and Amr explained what troubleshooting he was performing. The problem was ownership throughout the full interaction. Once Amr went to work with the back office, the customer was left without communication. Regardless of whether Amr was muted, researching, or experiencing another issue, the customer experienced several minutes of silence and ultimately believed he had been abandoned. So the controllability is not because Amr lacked empathy throughout the entire call. It is because he failed to maintain ownership, communication, and reassurance until the interaction was completed.</t>
  </si>
  <si>
    <t xml:space="preserve">Follow-up Date = Coaching Date + 14 days (assumption: 2-week re-check). Status options: Open / Coached / Improved / Repeat.</t>
  </si>
  <si>
    <t xml:space="preserve">Data ID</t>
  </si>
  <si>
    <t xml:space="preserve">Scrub Date</t>
  </si>
  <si>
    <t xml:space="preserve">Agent (from comment)</t>
  </si>
  <si>
    <t xml:space="preserve">RCA</t>
  </si>
  <si>
    <t xml:space="preserve">Comment</t>
  </si>
  <si>
    <t xml:space="preserve">Scrubber</t>
  </si>
  <si>
    <t xml:space="preserve">Agent Opportunity</t>
  </si>
  <si>
    <t xml:space="preserve">Omar Mansour (Omar Ali Mohamed)</t>
  </si>
  <si>
    <t xml:space="preserve">2196550037</t>
  </si>
  <si>
    <t xml:space="preserve">Comcast Process/Tools</t>
  </si>
  <si>
    <t xml:space="preserve">Dissatisfied with service</t>
  </si>
  <si>
    <t xml:space="preserve">Customer contacted regarding persistent network/connectivity issues and stated the problem had been ongoing for several months. Customer expressed significant dissatisfaction with the quality of service and advised that she may change providers if the issue continues. Agent attempted multiple account verification methods; however, the account was under the customer's husband and the customer was unable to complete verification through the account holder, payment card, or registered email. As a result, the agent was unable to proceed with account-level troubleshooting. Primary detractor driver was the customer's ongoing dissatisfaction with the network/service rather than an agent-created issue.</t>
  </si>
  <si>
    <t xml:space="preserve">2196030751</t>
  </si>
  <si>
    <t xml:space="preserve">Outage</t>
  </si>
  <si>
    <t xml:space="preserve">The customer contacted because Comcast work in the area caused a service interruption and she was frustrated that she did not believe she had been notified. Once Mohammed accessed the account, he identified an outage notification and provided an estimated restoration time of approximately 4:40 PM. The outage itself was outside the agent's control.</t>
  </si>
  <si>
    <t xml:space="preserve">2195165826</t>
  </si>
  <si>
    <t xml:space="preserve">The customer called because her internet had just gone down and immediately asked whether the issue was on Comcast’s side. Mohammed told her, without validating first, that “unfortunately, it’s just you” and suggested it was probably a signal issue. Later in the same call, the customer received an Xfinity notification confirming that service was unavailable due to an issue with the Comcast network.</t>
  </si>
  <si>
    <t xml:space="preserve">2196814455</t>
  </si>
  <si>
    <t xml:space="preserve">Another Agent's Opportunity</t>
  </si>
  <si>
    <t xml:space="preserve">during the interaction, the customer explicitly contrasted Amr with the previous experience and told him: “Sonya screwed me over here… you’re doing everything perfect. I give you an 8 now.</t>
  </si>
  <si>
    <t xml:space="preserve">2195342301</t>
  </si>
  <si>
    <t xml:space="preserve">Customer Provided the agent positive feedback</t>
  </si>
  <si>
    <t xml:space="preserve">Amr first helped the customer regain access to the account by walking him through the password-reset and verification process. The customer was clearly struggling with the technology, but Amr stayed with him through the process. During that portion, the customer explicitly told Amr: “You’re nice man. You’re very patient.</t>
  </si>
  <si>
    <t xml:space="preserve">2194689303</t>
  </si>
  <si>
    <t xml:space="preserve">The customer's reaction was positive—she responded, “Oh wonderful. Why didn't somebody do that a long time ago.” That statement reinforces that her frustration was with what had happened before reaching Amr, not with his handling.</t>
  </si>
  <si>
    <t xml:space="preserve">2194816382</t>
  </si>
  <si>
    <t xml:space="preserve">he customer came in dissatisfied because of the unresolved refund, while Jana's opportunity was to make the current interaction feel more structured, more transparent, and less like the same vague reassurance he had already received from previous agents.</t>
  </si>
  <si>
    <t xml:space="preserve">2196196507</t>
  </si>
  <si>
    <t xml:space="preserve">Comcast Restriction  (add on the comment which Restriction)</t>
  </si>
  <si>
    <t xml:space="preserve">The customer contacted Xfinity because he could not access Wi-Fi. Youssef checked the account and identified the actual reason quickly: the account had been soft disconnected because of a $192.32 past-due balance. He then clearly explained that the Wi-Fi could not be restored until the payment was made. The customer understood the explanation and essentially accepted the situation: “Okay got it… what I’ll do that then I’ll call you.”  There is no strong indication that the customer became frustrated specifically because of Youssef.</t>
  </si>
  <si>
    <t xml:space="preserve">2195162416</t>
  </si>
  <si>
    <t xml:space="preserve">Complaints about the technician</t>
  </si>
  <si>
    <t xml:space="preserve">Technician Scheduling </t>
  </si>
  <si>
    <t xml:space="preserve">2197847600</t>
  </si>
  <si>
    <t xml:space="preserve">They had already received approximately their fourth replacement box, the internet had been cutting out multiple times every day for months, technicians had repeatedly visited the home, equipment had been replaced, and wiring had been worked on without a lasting fix.    Pasted text The customer then  told Youssef: technicians keep coming out and nothing gets fixed.</t>
  </si>
  <si>
    <t xml:space="preserve">2197860585</t>
  </si>
  <si>
    <t xml:space="preserve">No Audio Found on I3</t>
  </si>
  <si>
    <t xml:space="preserve">2197808496</t>
  </si>
  <si>
    <t xml:space="preserve">2197421005</t>
  </si>
  <si>
    <t xml:space="preserve">The customer's original problem was a complete loss of internet/TV service. Omar's diagnostics pointed toward a coax/wiring issue requiring a technician. That technical failure existed before Omar handled the interaction.</t>
  </si>
  <si>
    <t xml:space="preserve">2195718905</t>
  </si>
  <si>
    <t xml:space="preserve">Customer could not authentication </t>
  </si>
  <si>
    <t xml:space="preserve">2197341018</t>
  </si>
  <si>
    <t xml:space="preserve">Agent was friendly assured help showed empathy yet the customer had an outage and was upset cuz of it </t>
  </si>
  <si>
    <t xml:space="preserve">Excluded rows (duplicate Survey ID — latest submission kept)</t>
  </si>
  <si>
    <t xml:space="preserve">Also excluded: test row ID 2030 (BPID "11"). BPID typo "p-aelshe876" corrected to bp-aelshe876. Team = the 12 BPIDs in Omar Mansour's scrubs.</t>
  </si>
</sst>
</file>

<file path=xl/styles.xml><?xml version="1.0" encoding="utf-8"?>
<styleSheet xmlns="http://schemas.openxmlformats.org/spreadsheetml/2006/main">
  <numFmts count="7">
    <numFmt numFmtId="164" formatCode="General"/>
    <numFmt numFmtId="165" formatCode="0"/>
    <numFmt numFmtId="166" formatCode="0%"/>
    <numFmt numFmtId="167" formatCode="General"/>
    <numFmt numFmtId="168" formatCode="ddd\ dd\-mmm"/>
    <numFmt numFmtId="169" formatCode="\+0;\-0;0"/>
    <numFmt numFmtId="170" formatCode="yyyy\-mm\-dd"/>
  </numFmts>
  <fonts count="20">
    <font>
      <sz val="11"/>
      <color theme="1"/>
      <name val="Calibri"/>
      <family val="2"/>
      <charset val="1"/>
    </font>
    <font>
      <sz val="10"/>
      <name val="Arial"/>
      <family val="0"/>
    </font>
    <font>
      <sz val="10"/>
      <name val="Arial"/>
      <family val="0"/>
    </font>
    <font>
      <sz val="10"/>
      <name val="Arial"/>
      <family val="0"/>
    </font>
    <font>
      <b val="true"/>
      <sz val="18"/>
      <color rgb="FFFFFFFF"/>
      <name val="Arial"/>
      <family val="0"/>
      <charset val="1"/>
    </font>
    <font>
      <i val="true"/>
      <sz val="10"/>
      <color rgb="FFDCE3EE"/>
      <name val="Arial"/>
      <family val="0"/>
      <charset val="1"/>
    </font>
    <font>
      <b val="true"/>
      <sz val="9"/>
      <color rgb="FFFFFFFF"/>
      <name val="Arial"/>
      <family val="0"/>
      <charset val="1"/>
    </font>
    <font>
      <b val="true"/>
      <sz val="20"/>
      <color rgb="FFF28C28"/>
      <name val="Arial"/>
      <family val="0"/>
      <charset val="1"/>
    </font>
    <font>
      <b val="true"/>
      <sz val="12"/>
      <color rgb="FF0B2545"/>
      <name val="Arial"/>
      <family val="0"/>
      <charset val="1"/>
    </font>
    <font>
      <sz val="10"/>
      <name val="Arial"/>
      <family val="0"/>
      <charset val="1"/>
    </font>
    <font>
      <i val="true"/>
      <sz val="8"/>
      <color rgb="FF8D99AE"/>
      <name val="Arial"/>
      <family val="0"/>
      <charset val="1"/>
    </font>
    <font>
      <b val="true"/>
      <sz val="10"/>
      <color rgb="FFFFFFFF"/>
      <name val="Arial"/>
      <family val="0"/>
      <charset val="1"/>
    </font>
    <font>
      <b val="true"/>
      <sz val="11"/>
      <name val="Arial"/>
      <family val="0"/>
      <charset val="1"/>
    </font>
    <font>
      <i val="true"/>
      <sz val="9"/>
      <color rgb="FF8D99AE"/>
      <name val="Arial"/>
      <family val="0"/>
      <charset val="1"/>
    </font>
    <font>
      <b val="true"/>
      <sz val="18"/>
      <color rgb="FF000000"/>
      <name val="Calibri"/>
      <family val="2"/>
    </font>
    <font>
      <sz val="10"/>
      <color rgb="FF000000"/>
      <name val="Calibri"/>
      <family val="2"/>
    </font>
    <font>
      <sz val="9"/>
      <name val="Arial"/>
      <family val="0"/>
      <charset val="1"/>
    </font>
    <font>
      <b val="true"/>
      <sz val="11"/>
      <color rgb="FFC00000"/>
      <name val="Arial"/>
      <family val="0"/>
      <charset val="1"/>
    </font>
    <font>
      <sz val="9"/>
      <color rgb="FF8D99AE"/>
      <name val="Arial"/>
      <family val="0"/>
      <charset val="1"/>
    </font>
    <font>
      <i val="true"/>
      <sz val="9"/>
      <name val="Arial"/>
      <family val="0"/>
      <charset val="1"/>
    </font>
  </fonts>
  <fills count="8">
    <fill>
      <patternFill patternType="none"/>
    </fill>
    <fill>
      <patternFill patternType="gray125"/>
    </fill>
    <fill>
      <patternFill patternType="solid">
        <fgColor rgb="FF0B2545"/>
        <bgColor rgb="FF13315C"/>
      </patternFill>
    </fill>
    <fill>
      <patternFill patternType="solid">
        <fgColor rgb="FFF28C28"/>
        <bgColor rgb="FFFF8080"/>
      </patternFill>
    </fill>
    <fill>
      <patternFill patternType="solid">
        <fgColor rgb="FF13315C"/>
        <bgColor rgb="FF0B2545"/>
      </patternFill>
    </fill>
    <fill>
      <patternFill patternType="solid">
        <fgColor rgb="FFEEF2F7"/>
        <bgColor rgb="FFFFFFFF"/>
      </patternFill>
    </fill>
    <fill>
      <patternFill patternType="solid">
        <fgColor rgb="FFFFF2CC"/>
        <bgColor rgb="FFFCE4CC"/>
      </patternFill>
    </fill>
    <fill>
      <patternFill patternType="solid">
        <fgColor rgb="FFFCE4CC"/>
        <bgColor rgb="FFFFF2CC"/>
      </patternFill>
    </fill>
  </fills>
  <borders count="3">
    <border diagonalUp="false" diagonalDown="false">
      <left/>
      <right/>
      <top/>
      <bottom/>
      <diagonal/>
    </border>
    <border diagonalUp="false" diagonalDown="false">
      <left/>
      <right/>
      <top/>
      <bottom style="medium">
        <color rgb="FFF28C28"/>
      </bottom>
      <diagonal/>
    </border>
    <border diagonalUp="false" diagonalDown="false">
      <left style="thin">
        <color rgb="FFD0D7E2"/>
      </left>
      <right style="thin">
        <color rgb="FFD0D7E2"/>
      </right>
      <top style="thin">
        <color rgb="FFD0D7E2"/>
      </top>
      <bottom style="thin">
        <color rgb="FFD0D7E2"/>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5" fillId="2" borderId="0" xfId="0" applyFont="tru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6" fillId="4" borderId="0" xfId="0" applyFont="true" applyBorder="true" applyAlignment="true" applyProtection="false">
      <alignment horizontal="center" vertical="bottom" textRotation="0" wrapText="false" indent="0" shrinkToFit="false"/>
      <protection locked="true" hidden="false"/>
    </xf>
    <xf numFmtId="165" fontId="7" fillId="5" borderId="0" xfId="0" applyFont="true" applyBorder="true" applyAlignment="true" applyProtection="false">
      <alignment horizontal="center" vertical="bottom" textRotation="0" wrapText="false" indent="0" shrinkToFit="false"/>
      <protection locked="true" hidden="false"/>
    </xf>
    <xf numFmtId="166" fontId="7" fillId="5" borderId="0" xfId="0" applyFont="true" applyBorder="true" applyAlignment="true" applyProtection="false">
      <alignment horizontal="center"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4" borderId="2" xfId="0" applyFont="true" applyBorder="true" applyAlignment="true" applyProtection="false">
      <alignment horizontal="center" vertical="center" textRotation="0" wrapText="true" indent="0" shrinkToFit="false"/>
      <protection locked="true" hidden="false"/>
    </xf>
    <xf numFmtId="164" fontId="9" fillId="0" borderId="2" xfId="0" applyFont="true" applyBorder="true" applyAlignment="false" applyProtection="false">
      <alignment horizontal="general" vertical="bottom" textRotation="0" wrapText="false" indent="0" shrinkToFit="false"/>
      <protection locked="true" hidden="false"/>
    </xf>
    <xf numFmtId="167" fontId="9" fillId="0" borderId="2" xfId="0" applyFont="true" applyBorder="true" applyAlignment="false" applyProtection="false">
      <alignment horizontal="general" vertical="bottom" textRotation="0" wrapText="false" indent="0" shrinkToFit="false"/>
      <protection locked="true" hidden="false"/>
    </xf>
    <xf numFmtId="166" fontId="9" fillId="0" borderId="2" xfId="0" applyFont="true" applyBorder="true" applyAlignment="false" applyProtection="false">
      <alignment horizontal="general" vertical="bottom" textRotation="0" wrapText="false" indent="0" shrinkToFit="false"/>
      <protection locked="true" hidden="false"/>
    </xf>
    <xf numFmtId="164" fontId="9" fillId="0" borderId="2" xfId="0" applyFont="true" applyBorder="true" applyAlignment="true" applyProtection="false">
      <alignment horizontal="general" vertical="top" textRotation="0" wrapText="true" indent="0" shrinkToFit="false"/>
      <protection locked="true" hidden="false"/>
    </xf>
    <xf numFmtId="164" fontId="9" fillId="6" borderId="2" xfId="0" applyFont="true" applyBorder="true" applyAlignment="false" applyProtection="false">
      <alignment horizontal="general" vertical="bottom" textRotation="0" wrapText="false" indent="0" shrinkToFit="false"/>
      <protection locked="true" hidden="false"/>
    </xf>
    <xf numFmtId="164" fontId="9" fillId="5" borderId="2" xfId="0" applyFont="true" applyBorder="true" applyAlignment="false" applyProtection="false">
      <alignment horizontal="general" vertical="bottom" textRotation="0" wrapText="false" indent="0" shrinkToFit="false"/>
      <protection locked="true" hidden="false"/>
    </xf>
    <xf numFmtId="167" fontId="9" fillId="5" borderId="2" xfId="0" applyFont="true" applyBorder="true" applyAlignment="false" applyProtection="false">
      <alignment horizontal="general" vertical="bottom" textRotation="0" wrapText="false" indent="0" shrinkToFit="false"/>
      <protection locked="true" hidden="false"/>
    </xf>
    <xf numFmtId="166" fontId="9" fillId="5" borderId="2" xfId="0" applyFont="true" applyBorder="true" applyAlignment="false" applyProtection="false">
      <alignment horizontal="general" vertical="bottom" textRotation="0" wrapText="false" indent="0" shrinkToFit="false"/>
      <protection locked="true" hidden="false"/>
    </xf>
    <xf numFmtId="164" fontId="9" fillId="5" borderId="2" xfId="0" applyFont="true" applyBorder="true" applyAlignment="true" applyProtection="false">
      <alignment horizontal="general" vertical="top" textRotation="0" wrapText="true" indent="0" shrinkToFit="false"/>
      <protection locked="true" hidden="false"/>
    </xf>
    <xf numFmtId="164" fontId="12" fillId="7" borderId="2" xfId="0" applyFont="true" applyBorder="true" applyAlignment="false" applyProtection="false">
      <alignment horizontal="general" vertical="bottom" textRotation="0" wrapText="false" indent="0" shrinkToFit="false"/>
      <protection locked="true" hidden="false"/>
    </xf>
    <xf numFmtId="166" fontId="12" fillId="7" borderId="2" xfId="0" applyFont="true" applyBorder="tru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8" fontId="9" fillId="0" borderId="2" xfId="0" applyFont="true" applyBorder="true" applyAlignment="false" applyProtection="false">
      <alignment horizontal="general" vertical="bottom" textRotation="0" wrapText="false" indent="0" shrinkToFit="false"/>
      <protection locked="true" hidden="false"/>
    </xf>
    <xf numFmtId="169" fontId="9" fillId="0" borderId="2" xfId="0" applyFont="true" applyBorder="true" applyAlignment="false" applyProtection="false">
      <alignment horizontal="general" vertical="bottom" textRotation="0" wrapText="false" indent="0" shrinkToFit="false"/>
      <protection locked="true" hidden="false"/>
    </xf>
    <xf numFmtId="168" fontId="9" fillId="5" borderId="2" xfId="0" applyFont="true" applyBorder="true" applyAlignment="false" applyProtection="false">
      <alignment horizontal="general" vertical="bottom" textRotation="0" wrapText="false" indent="0" shrinkToFit="false"/>
      <protection locked="true" hidden="false"/>
    </xf>
    <xf numFmtId="169" fontId="9" fillId="5" borderId="2" xfId="0" applyFont="true" applyBorder="true" applyAlignment="false" applyProtection="false">
      <alignment horizontal="general" vertical="bottom" textRotation="0" wrapText="false" indent="0" shrinkToFit="false"/>
      <protection locked="true" hidden="false"/>
    </xf>
    <xf numFmtId="170" fontId="9" fillId="0" borderId="2" xfId="0" applyFont="true" applyBorder="true" applyAlignment="true" applyProtection="false">
      <alignment horizontal="general" vertical="top" textRotation="0" wrapText="true" indent="0" shrinkToFit="false"/>
      <protection locked="true" hidden="false"/>
    </xf>
    <xf numFmtId="170" fontId="9" fillId="6" borderId="2" xfId="0" applyFont="true" applyBorder="true" applyAlignment="false" applyProtection="false">
      <alignment horizontal="general" vertical="bottom" textRotation="0" wrapText="false" indent="0" shrinkToFit="false"/>
      <protection locked="true" hidden="false"/>
    </xf>
    <xf numFmtId="164" fontId="16" fillId="0" borderId="0" xfId="0" applyFont="true" applyBorder="false" applyAlignment="true" applyProtection="false">
      <alignment horizontal="general" vertical="top" textRotation="0" wrapText="false" indent="0" shrinkToFit="false"/>
      <protection locked="true" hidden="false"/>
    </xf>
    <xf numFmtId="170" fontId="16" fillId="0" borderId="0" xfId="0" applyFont="true" applyBorder="false" applyAlignment="true" applyProtection="false">
      <alignment horizontal="general" vertical="top" textRotation="0" wrapText="false" indent="0" shrinkToFit="false"/>
      <protection locked="true" hidden="false"/>
    </xf>
    <xf numFmtId="164" fontId="16" fillId="0" borderId="0" xfId="0" applyFont="true" applyBorder="false" applyAlignment="true" applyProtection="false">
      <alignment horizontal="general" vertical="top" textRotation="0" wrapText="tru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ill>
        <patternFill>
          <bgColor rgb="FFF8CBAD"/>
        </patternFill>
      </fill>
    </dxf>
    <dxf>
      <fill>
        <patternFill>
          <bgColor rgb="FFFFEB9C"/>
        </patternFill>
      </fill>
    </dxf>
    <dxf>
      <fill>
        <patternFill>
          <bgColor rgb="FFC6EFCE"/>
        </patternFill>
      </fill>
    </dxf>
    <dxf>
      <font>
        <name val="Arial"/>
        <charset val="1"/>
        <family val="0"/>
        <color rgb="FFC00000"/>
      </font>
    </dxf>
    <dxf>
      <font>
        <name val="Arial"/>
        <charset val="1"/>
        <family val="0"/>
        <color rgb="FF007A33"/>
      </font>
    </dxf>
    <dxf>
      <fill>
        <patternFill patternType="solid">
          <fgColor rgb="FF13315C"/>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C00000"/>
      <rgbColor rgb="FF00FF00"/>
      <rgbColor rgb="FF0000FF"/>
      <rgbColor rgb="FFFFFF00"/>
      <rgbColor rgb="FFFF00FF"/>
      <rgbColor rgb="FF00FFFF"/>
      <rgbColor rgb="FF800000"/>
      <rgbColor rgb="FF007A33"/>
      <rgbColor rgb="FF000080"/>
      <rgbColor rgb="FF808000"/>
      <rgbColor rgb="FF800080"/>
      <rgbColor rgb="FF008080"/>
      <rgbColor rgb="FFD9D9D9"/>
      <rgbColor rgb="FF878787"/>
      <rgbColor rgb="FF9999FF"/>
      <rgbColor rgb="FF993366"/>
      <rgbColor rgb="FFFFF2CC"/>
      <rgbColor rgb="FFEEF2F7"/>
      <rgbColor rgb="FF660066"/>
      <rgbColor rgb="FFFF8080"/>
      <rgbColor rgb="FF0066CC"/>
      <rgbColor rgb="FFD0D7E2"/>
      <rgbColor rgb="FF000080"/>
      <rgbColor rgb="FFFF00FF"/>
      <rgbColor rgb="FFFFFF00"/>
      <rgbColor rgb="FF00FFFF"/>
      <rgbColor rgb="FF800080"/>
      <rgbColor rgb="FF800000"/>
      <rgbColor rgb="FF008080"/>
      <rgbColor rgb="FF0000FF"/>
      <rgbColor rgb="FF00CCFF"/>
      <rgbColor rgb="FFDCE3EE"/>
      <rgbColor rgb="FFC6EFCE"/>
      <rgbColor rgb="FFFFEB9C"/>
      <rgbColor rgb="FF99CCFF"/>
      <rgbColor rgb="FFFCE4CC"/>
      <rgbColor rgb="FFCC99FF"/>
      <rgbColor rgb="FFF8CBAD"/>
      <rgbColor rgb="FF5C7AEA"/>
      <rgbColor rgb="FF33CCCC"/>
      <rgbColor rgb="FF99CC00"/>
      <rgbColor rgb="FFFFCC00"/>
      <rgbColor rgb="FFF28C28"/>
      <rgbColor rgb="FFFF6600"/>
      <rgbColor rgb="FF666699"/>
      <rgbColor rgb="FF8D99AE"/>
      <rgbColor rgb="FF13315C"/>
      <rgbColor rgb="FF339966"/>
      <rgbColor rgb="FF003300"/>
      <rgbColor rgb="FF333300"/>
      <rgbColor rgb="FF993300"/>
      <rgbColor rgb="FF993366"/>
      <rgbColor rgb="FF333399"/>
      <rgbColor rgb="FF0B2545"/>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Detractors by agent &amp; RCA</a:t>
            </a:r>
          </a:p>
        </c:rich>
      </c:tx>
      <c:overlay val="0"/>
      <c:spPr>
        <a:noFill/>
        <a:ln w="0">
          <a:noFill/>
        </a:ln>
      </c:spPr>
    </c:title>
    <c:autoTitleDeleted val="0"/>
    <c:plotArea>
      <c:barChart>
        <c:barDir val="bar"/>
        <c:grouping val="stacked"/>
        <c:varyColors val="0"/>
        <c:ser>
          <c:idx val="0"/>
          <c:order val="0"/>
          <c:tx>
            <c:strRef>
              <c:f>'Agent Scorecard'!D5</c:f>
              <c:strCache>
                <c:ptCount val="1"/>
                <c:pt idx="0">
                  <c:v>Agent Opp</c:v>
                </c:pt>
              </c:strCache>
            </c:strRef>
          </c:tx>
          <c:spPr>
            <a:solidFill>
              <a:srgbClr val="f28c28"/>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'Agent Scorecard'!$A$6:$A$17</c:f>
              <c:strCache>
                <c:ptCount val="12"/>
                <c:pt idx="0">
                  <c:v>bp-akahal350</c:v>
                </c:pt>
                <c:pt idx="1">
                  <c:v>bp-mammar838</c:v>
                </c:pt>
                <c:pt idx="2">
                  <c:v>bp-mtadro821</c:v>
                </c:pt>
                <c:pt idx="3">
                  <c:v>bp-ahassa042</c:v>
                </c:pt>
                <c:pt idx="4">
                  <c:v>bp-maboel157</c:v>
                </c:pt>
                <c:pt idx="5">
                  <c:v>bp-yawade572</c:v>
                </c:pt>
                <c:pt idx="6">
                  <c:v>bp-aelshe876</c:v>
                </c:pt>
                <c:pt idx="7">
                  <c:v>bp-jsolim238</c:v>
                </c:pt>
                <c:pt idx="8">
                  <c:v>bp-aali048</c:v>
                </c:pt>
                <c:pt idx="9">
                  <c:v>bp-mmahmo022</c:v>
                </c:pt>
                <c:pt idx="10">
                  <c:v>bp-okamel106</c:v>
                </c:pt>
                <c:pt idx="11">
                  <c:v>bp-yabdel208</c:v>
                </c:pt>
              </c:strCache>
            </c:strRef>
          </c:cat>
          <c:val>
            <c:numRef>
              <c:f>'Agent Scorecard'!$D$6:$D$17</c:f>
              <c:numCache>
                <c:formatCode>General</c:formatCode>
                <c:ptCount val="12"/>
                <c:pt idx="0">
                  <c:v>3</c:v>
                </c:pt>
                <c:pt idx="1">
                  <c:v>2</c:v>
                </c:pt>
                <c:pt idx="2">
                  <c:v>2</c:v>
                </c:pt>
                <c:pt idx="3">
                  <c:v>1</c:v>
                </c:pt>
                <c:pt idx="4">
                  <c:v>1</c:v>
                </c:pt>
                <c:pt idx="5">
                  <c:v>1</c:v>
                </c:pt>
                <c:pt idx="6">
                  <c:v>1</c:v>
                </c:pt>
                <c:pt idx="7">
                  <c:v>0</c:v>
                </c:pt>
                <c:pt idx="8">
                  <c:v>0</c:v>
                </c:pt>
                <c:pt idx="9">
                  <c:v>0</c:v>
                </c:pt>
                <c:pt idx="10">
                  <c:v>0</c:v>
                </c:pt>
                <c:pt idx="11">
                  <c:v>0</c:v>
                </c:pt>
              </c:numCache>
            </c:numRef>
          </c:val>
        </c:ser>
        <c:ser>
          <c:idx val="1"/>
          <c:order val="1"/>
          <c:tx>
            <c:strRef>
              <c:f>'Agent Scorecard'!E5</c:f>
              <c:strCache>
                <c:ptCount val="1"/>
                <c:pt idx="0">
                  <c:v>Comcast</c:v>
                </c:pt>
              </c:strCache>
            </c:strRef>
          </c:tx>
          <c:spPr>
            <a:solidFill>
              <a:srgbClr val="0b2545"/>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'Agent Scorecard'!$A$6:$A$17</c:f>
              <c:strCache>
                <c:ptCount val="12"/>
                <c:pt idx="0">
                  <c:v>bp-akahal350</c:v>
                </c:pt>
                <c:pt idx="1">
                  <c:v>bp-mammar838</c:v>
                </c:pt>
                <c:pt idx="2">
                  <c:v>bp-mtadro821</c:v>
                </c:pt>
                <c:pt idx="3">
                  <c:v>bp-ahassa042</c:v>
                </c:pt>
                <c:pt idx="4">
                  <c:v>bp-maboel157</c:v>
                </c:pt>
                <c:pt idx="5">
                  <c:v>bp-yawade572</c:v>
                </c:pt>
                <c:pt idx="6">
                  <c:v>bp-aelshe876</c:v>
                </c:pt>
                <c:pt idx="7">
                  <c:v>bp-jsolim238</c:v>
                </c:pt>
                <c:pt idx="8">
                  <c:v>bp-aali048</c:v>
                </c:pt>
                <c:pt idx="9">
                  <c:v>bp-mmahmo022</c:v>
                </c:pt>
                <c:pt idx="10">
                  <c:v>bp-okamel106</c:v>
                </c:pt>
                <c:pt idx="11">
                  <c:v>bp-yabdel208</c:v>
                </c:pt>
              </c:strCache>
            </c:strRef>
          </c:cat>
          <c:val>
            <c:numRef>
              <c:f>'Agent Scorecard'!$E$6:$E$17</c:f>
              <c:numCache>
                <c:formatCode>General</c:formatCode>
                <c:ptCount val="12"/>
                <c:pt idx="0">
                  <c:v>1</c:v>
                </c:pt>
                <c:pt idx="1">
                  <c:v>3</c:v>
                </c:pt>
                <c:pt idx="2">
                  <c:v>0</c:v>
                </c:pt>
                <c:pt idx="3">
                  <c:v>0</c:v>
                </c:pt>
                <c:pt idx="4">
                  <c:v>0</c:v>
                </c:pt>
                <c:pt idx="5">
                  <c:v>1</c:v>
                </c:pt>
                <c:pt idx="6">
                  <c:v>0</c:v>
                </c:pt>
                <c:pt idx="7">
                  <c:v>0</c:v>
                </c:pt>
                <c:pt idx="8">
                  <c:v>1</c:v>
                </c:pt>
                <c:pt idx="9">
                  <c:v>0</c:v>
                </c:pt>
                <c:pt idx="10">
                  <c:v>2</c:v>
                </c:pt>
                <c:pt idx="11">
                  <c:v>1</c:v>
                </c:pt>
              </c:numCache>
            </c:numRef>
          </c:val>
        </c:ser>
        <c:ser>
          <c:idx val="2"/>
          <c:order val="2"/>
          <c:tx>
            <c:strRef>
              <c:f>'Agent Scorecard'!F5</c:f>
              <c:strCache>
                <c:ptCount val="1"/>
                <c:pt idx="0">
                  <c:v>Customer</c:v>
                </c:pt>
              </c:strCache>
            </c:strRef>
          </c:tx>
          <c:spPr>
            <a:solidFill>
              <a:srgbClr val="5c7aea"/>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'Agent Scorecard'!$A$6:$A$17</c:f>
              <c:strCache>
                <c:ptCount val="12"/>
                <c:pt idx="0">
                  <c:v>bp-akahal350</c:v>
                </c:pt>
                <c:pt idx="1">
                  <c:v>bp-mammar838</c:v>
                </c:pt>
                <c:pt idx="2">
                  <c:v>bp-mtadro821</c:v>
                </c:pt>
                <c:pt idx="3">
                  <c:v>bp-ahassa042</c:v>
                </c:pt>
                <c:pt idx="4">
                  <c:v>bp-maboel157</c:v>
                </c:pt>
                <c:pt idx="5">
                  <c:v>bp-yawade572</c:v>
                </c:pt>
                <c:pt idx="6">
                  <c:v>bp-aelshe876</c:v>
                </c:pt>
                <c:pt idx="7">
                  <c:v>bp-jsolim238</c:v>
                </c:pt>
                <c:pt idx="8">
                  <c:v>bp-aali048</c:v>
                </c:pt>
                <c:pt idx="9">
                  <c:v>bp-mmahmo022</c:v>
                </c:pt>
                <c:pt idx="10">
                  <c:v>bp-okamel106</c:v>
                </c:pt>
                <c:pt idx="11">
                  <c:v>bp-yabdel208</c:v>
                </c:pt>
              </c:strCache>
            </c:strRef>
          </c:cat>
          <c:val>
            <c:numRef>
              <c:f>'Agent Scorecard'!$F$6:$F$17</c:f>
              <c:numCache>
                <c:formatCode>General</c:formatCode>
                <c:ptCount val="12"/>
                <c:pt idx="0">
                  <c:v>0</c:v>
                </c:pt>
                <c:pt idx="1">
                  <c:v>0</c:v>
                </c:pt>
                <c:pt idx="2">
                  <c:v>0</c:v>
                </c:pt>
                <c:pt idx="3">
                  <c:v>0</c:v>
                </c:pt>
                <c:pt idx="4">
                  <c:v>0</c:v>
                </c:pt>
                <c:pt idx="5">
                  <c:v>0</c:v>
                </c:pt>
                <c:pt idx="6">
                  <c:v>3</c:v>
                </c:pt>
                <c:pt idx="7">
                  <c:v>1</c:v>
                </c:pt>
                <c:pt idx="8">
                  <c:v>0</c:v>
                </c:pt>
                <c:pt idx="9">
                  <c:v>0</c:v>
                </c:pt>
                <c:pt idx="10">
                  <c:v>0</c:v>
                </c:pt>
                <c:pt idx="11">
                  <c:v>0</c:v>
                </c:pt>
              </c:numCache>
            </c:numRef>
          </c:val>
        </c:ser>
        <c:ser>
          <c:idx val="3"/>
          <c:order val="3"/>
          <c:tx>
            <c:strRef>
              <c:f>'Agent Scorecard'!G5</c:f>
              <c:strCache>
                <c:ptCount val="1"/>
                <c:pt idx="0">
                  <c:v>No Audio</c:v>
                </c:pt>
              </c:strCache>
            </c:strRef>
          </c:tx>
          <c:spPr>
            <a:solidFill>
              <a:srgbClr val="8d99ae"/>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'Agent Scorecard'!$A$6:$A$17</c:f>
              <c:strCache>
                <c:ptCount val="12"/>
                <c:pt idx="0">
                  <c:v>bp-akahal350</c:v>
                </c:pt>
                <c:pt idx="1">
                  <c:v>bp-mammar838</c:v>
                </c:pt>
                <c:pt idx="2">
                  <c:v>bp-mtadro821</c:v>
                </c:pt>
                <c:pt idx="3">
                  <c:v>bp-ahassa042</c:v>
                </c:pt>
                <c:pt idx="4">
                  <c:v>bp-maboel157</c:v>
                </c:pt>
                <c:pt idx="5">
                  <c:v>bp-yawade572</c:v>
                </c:pt>
                <c:pt idx="6">
                  <c:v>bp-aelshe876</c:v>
                </c:pt>
                <c:pt idx="7">
                  <c:v>bp-jsolim238</c:v>
                </c:pt>
                <c:pt idx="8">
                  <c:v>bp-aali048</c:v>
                </c:pt>
                <c:pt idx="9">
                  <c:v>bp-mmahmo022</c:v>
                </c:pt>
                <c:pt idx="10">
                  <c:v>bp-okamel106</c:v>
                </c:pt>
                <c:pt idx="11">
                  <c:v>bp-yabdel208</c:v>
                </c:pt>
              </c:strCache>
            </c:strRef>
          </c:cat>
          <c:val>
            <c:numRef>
              <c:f>'Agent Scorecard'!$G$6:$G$17</c:f>
              <c:numCache>
                <c:formatCode>General</c:formatCode>
                <c:ptCount val="12"/>
                <c:pt idx="0">
                  <c:v>0</c:v>
                </c:pt>
                <c:pt idx="1">
                  <c:v>0</c:v>
                </c:pt>
                <c:pt idx="2">
                  <c:v>0</c:v>
                </c:pt>
                <c:pt idx="3">
                  <c:v>1</c:v>
                </c:pt>
                <c:pt idx="4">
                  <c:v>0</c:v>
                </c:pt>
                <c:pt idx="5">
                  <c:v>0</c:v>
                </c:pt>
                <c:pt idx="6">
                  <c:v>0</c:v>
                </c:pt>
                <c:pt idx="7">
                  <c:v>0</c:v>
                </c:pt>
                <c:pt idx="8">
                  <c:v>0</c:v>
                </c:pt>
                <c:pt idx="9">
                  <c:v>1</c:v>
                </c:pt>
                <c:pt idx="10">
                  <c:v>0</c:v>
                </c:pt>
                <c:pt idx="11">
                  <c:v>0</c:v>
                </c:pt>
              </c:numCache>
            </c:numRef>
          </c:val>
        </c:ser>
        <c:gapWidth val="150"/>
        <c:overlap val="100"/>
        <c:axId val="65539706"/>
        <c:axId val="23996631"/>
      </c:barChart>
      <c:catAx>
        <c:axId val="65539706"/>
        <c:scaling>
          <c:orientation val="maxMin"/>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3996631"/>
        <c:crosses val="autoZero"/>
        <c:auto val="1"/>
        <c:lblAlgn val="ctr"/>
        <c:lblOffset val="100"/>
        <c:noMultiLvlLbl val="0"/>
      </c:catAx>
      <c:valAx>
        <c:axId val="23996631"/>
        <c:scaling>
          <c:orientation val="minMax"/>
        </c:scaling>
        <c:delete val="0"/>
        <c:axPos val="l"/>
        <c:majorGridlines>
          <c:spPr>
            <a:ln w="9360">
              <a:solidFill>
                <a:srgbClr val="878787"/>
              </a:solidFill>
              <a:round/>
            </a:ln>
          </c:spPr>
        </c:majorGridlines>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5539706"/>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Team detractors per survey day</a:t>
            </a:r>
          </a:p>
        </c:rich>
      </c:tx>
      <c:overlay val="0"/>
      <c:spPr>
        <a:noFill/>
        <a:ln w="0">
          <a:noFill/>
        </a:ln>
      </c:spPr>
    </c:title>
    <c:autoTitleDeleted val="0"/>
    <c:plotArea>
      <c:barChart>
        <c:barDir val="col"/>
        <c:grouping val="stacked"/>
        <c:varyColors val="0"/>
        <c:ser>
          <c:idx val="0"/>
          <c:order val="0"/>
          <c:tx>
            <c:strRef>
              <c:f>'Day over Day'!C5</c:f>
              <c:strCache>
                <c:ptCount val="1"/>
                <c:pt idx="0">
                  <c:v>Agent Opp</c:v>
                </c:pt>
              </c:strCache>
            </c:strRef>
          </c:tx>
          <c:spPr>
            <a:solidFill>
              <a:srgbClr val="f28c28"/>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'Day over Day'!$A$6:$A$17</c:f>
              <c:strCache>
                <c:ptCount val="12"/>
                <c:pt idx="0">
                  <c:v>Tue 06-Oct</c:v>
                </c:pt>
                <c:pt idx="1">
                  <c:v>Mon 05-Oct</c:v>
                </c:pt>
                <c:pt idx="2">
                  <c:v>Sun 04-Oct</c:v>
                </c:pt>
                <c:pt idx="3">
                  <c:v>Sat 03-Oct</c:v>
                </c:pt>
                <c:pt idx="4">
                  <c:v>Fri 02-Oct</c:v>
                </c:pt>
                <c:pt idx="5">
                  <c:v>Thu 01-Oct</c:v>
                </c:pt>
                <c:pt idx="6">
                  <c:v>Wed 30-Sep</c:v>
                </c:pt>
                <c:pt idx="7">
                  <c:v>Tue 29-Sep</c:v>
                </c:pt>
                <c:pt idx="8">
                  <c:v>Mon 28-Sep</c:v>
                </c:pt>
                <c:pt idx="9">
                  <c:v>Sun 27-Sep</c:v>
                </c:pt>
                <c:pt idx="10">
                  <c:v>Sat 26-Sep</c:v>
                </c:pt>
                <c:pt idx="11">
                  <c:v>Fri 25-Sep</c:v>
                </c:pt>
              </c:strCache>
            </c:strRef>
          </c:cat>
          <c:val>
            <c:numRef>
              <c:f>'Day over Day'!$C$6:$C$17</c:f>
              <c:numCache>
                <c:formatCode>General</c:formatCode>
                <c:ptCount val="12"/>
                <c:pt idx="0">
                  <c:v>1</c:v>
                </c:pt>
                <c:pt idx="1">
                  <c:v>2</c:v>
                </c:pt>
                <c:pt idx="2">
                  <c:v>1</c:v>
                </c:pt>
                <c:pt idx="3">
                  <c:v>0</c:v>
                </c:pt>
                <c:pt idx="4">
                  <c:v>0</c:v>
                </c:pt>
                <c:pt idx="5">
                  <c:v>2</c:v>
                </c:pt>
                <c:pt idx="6">
                  <c:v>1</c:v>
                </c:pt>
                <c:pt idx="7">
                  <c:v>0</c:v>
                </c:pt>
                <c:pt idx="8">
                  <c:v>2</c:v>
                </c:pt>
                <c:pt idx="9">
                  <c:v>0</c:v>
                </c:pt>
                <c:pt idx="10">
                  <c:v>1</c:v>
                </c:pt>
                <c:pt idx="11">
                  <c:v>1</c:v>
                </c:pt>
              </c:numCache>
            </c:numRef>
          </c:val>
        </c:ser>
        <c:ser>
          <c:idx val="1"/>
          <c:order val="1"/>
          <c:tx>
            <c:strRef>
              <c:f>'Day over Day'!D5</c:f>
              <c:strCache>
                <c:ptCount val="1"/>
                <c:pt idx="0">
                  <c:v>Comcast</c:v>
                </c:pt>
              </c:strCache>
            </c:strRef>
          </c:tx>
          <c:spPr>
            <a:solidFill>
              <a:srgbClr val="0b2545"/>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'Day over Day'!$A$6:$A$17</c:f>
              <c:strCache>
                <c:ptCount val="12"/>
                <c:pt idx="0">
                  <c:v>Tue 06-Oct</c:v>
                </c:pt>
                <c:pt idx="1">
                  <c:v>Mon 05-Oct</c:v>
                </c:pt>
                <c:pt idx="2">
                  <c:v>Sun 04-Oct</c:v>
                </c:pt>
                <c:pt idx="3">
                  <c:v>Sat 03-Oct</c:v>
                </c:pt>
                <c:pt idx="4">
                  <c:v>Fri 02-Oct</c:v>
                </c:pt>
                <c:pt idx="5">
                  <c:v>Thu 01-Oct</c:v>
                </c:pt>
                <c:pt idx="6">
                  <c:v>Wed 30-Sep</c:v>
                </c:pt>
                <c:pt idx="7">
                  <c:v>Tue 29-Sep</c:v>
                </c:pt>
                <c:pt idx="8">
                  <c:v>Mon 28-Sep</c:v>
                </c:pt>
                <c:pt idx="9">
                  <c:v>Sun 27-Sep</c:v>
                </c:pt>
                <c:pt idx="10">
                  <c:v>Sat 26-Sep</c:v>
                </c:pt>
                <c:pt idx="11">
                  <c:v>Fri 25-Sep</c:v>
                </c:pt>
              </c:strCache>
            </c:strRef>
          </c:cat>
          <c:val>
            <c:numRef>
              <c:f>'Day over Day'!$D$6:$D$17</c:f>
              <c:numCache>
                <c:formatCode>General</c:formatCode>
                <c:ptCount val="12"/>
                <c:pt idx="0">
                  <c:v>2</c:v>
                </c:pt>
                <c:pt idx="1">
                  <c:v>1</c:v>
                </c:pt>
                <c:pt idx="2">
                  <c:v>0</c:v>
                </c:pt>
                <c:pt idx="3">
                  <c:v>0</c:v>
                </c:pt>
                <c:pt idx="4">
                  <c:v>1</c:v>
                </c:pt>
                <c:pt idx="5">
                  <c:v>2</c:v>
                </c:pt>
                <c:pt idx="6">
                  <c:v>1</c:v>
                </c:pt>
                <c:pt idx="7">
                  <c:v>1</c:v>
                </c:pt>
                <c:pt idx="8">
                  <c:v>1</c:v>
                </c:pt>
                <c:pt idx="9">
                  <c:v>0</c:v>
                </c:pt>
                <c:pt idx="10">
                  <c:v>0</c:v>
                </c:pt>
                <c:pt idx="11">
                  <c:v>0</c:v>
                </c:pt>
              </c:numCache>
            </c:numRef>
          </c:val>
        </c:ser>
        <c:ser>
          <c:idx val="2"/>
          <c:order val="2"/>
          <c:tx>
            <c:strRef>
              <c:f>'Day over Day'!E5</c:f>
              <c:strCache>
                <c:ptCount val="1"/>
                <c:pt idx="0">
                  <c:v>Customer</c:v>
                </c:pt>
              </c:strCache>
            </c:strRef>
          </c:tx>
          <c:spPr>
            <a:solidFill>
              <a:srgbClr val="5c7aea"/>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'Day over Day'!$A$6:$A$17</c:f>
              <c:strCache>
                <c:ptCount val="12"/>
                <c:pt idx="0">
                  <c:v>Tue 06-Oct</c:v>
                </c:pt>
                <c:pt idx="1">
                  <c:v>Mon 05-Oct</c:v>
                </c:pt>
                <c:pt idx="2">
                  <c:v>Sun 04-Oct</c:v>
                </c:pt>
                <c:pt idx="3">
                  <c:v>Sat 03-Oct</c:v>
                </c:pt>
                <c:pt idx="4">
                  <c:v>Fri 02-Oct</c:v>
                </c:pt>
                <c:pt idx="5">
                  <c:v>Thu 01-Oct</c:v>
                </c:pt>
                <c:pt idx="6">
                  <c:v>Wed 30-Sep</c:v>
                </c:pt>
                <c:pt idx="7">
                  <c:v>Tue 29-Sep</c:v>
                </c:pt>
                <c:pt idx="8">
                  <c:v>Mon 28-Sep</c:v>
                </c:pt>
                <c:pt idx="9">
                  <c:v>Sun 27-Sep</c:v>
                </c:pt>
                <c:pt idx="10">
                  <c:v>Sat 26-Sep</c:v>
                </c:pt>
                <c:pt idx="11">
                  <c:v>Fri 25-Sep</c:v>
                </c:pt>
              </c:strCache>
            </c:strRef>
          </c:cat>
          <c:val>
            <c:numRef>
              <c:f>'Day over Day'!$E$6:$E$17</c:f>
              <c:numCache>
                <c:formatCode>General</c:formatCode>
                <c:ptCount val="12"/>
                <c:pt idx="0">
                  <c:v>0</c:v>
                </c:pt>
                <c:pt idx="1">
                  <c:v>0</c:v>
                </c:pt>
                <c:pt idx="2">
                  <c:v>0</c:v>
                </c:pt>
                <c:pt idx="3">
                  <c:v>1</c:v>
                </c:pt>
                <c:pt idx="4">
                  <c:v>0</c:v>
                </c:pt>
                <c:pt idx="5">
                  <c:v>0</c:v>
                </c:pt>
                <c:pt idx="6">
                  <c:v>0</c:v>
                </c:pt>
                <c:pt idx="7">
                  <c:v>0</c:v>
                </c:pt>
                <c:pt idx="8">
                  <c:v>1</c:v>
                </c:pt>
                <c:pt idx="9">
                  <c:v>2</c:v>
                </c:pt>
                <c:pt idx="10">
                  <c:v>0</c:v>
                </c:pt>
                <c:pt idx="11">
                  <c:v>0</c:v>
                </c:pt>
              </c:numCache>
            </c:numRef>
          </c:val>
        </c:ser>
        <c:ser>
          <c:idx val="3"/>
          <c:order val="3"/>
          <c:tx>
            <c:strRef>
              <c:f>'Day over Day'!F5</c:f>
              <c:strCache>
                <c:ptCount val="1"/>
                <c:pt idx="0">
                  <c:v>No Audio</c:v>
                </c:pt>
              </c:strCache>
            </c:strRef>
          </c:tx>
          <c:spPr>
            <a:solidFill>
              <a:srgbClr val="8d99ae"/>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'Day over Day'!$A$6:$A$17</c:f>
              <c:strCache>
                <c:ptCount val="12"/>
                <c:pt idx="0">
                  <c:v>Tue 06-Oct</c:v>
                </c:pt>
                <c:pt idx="1">
                  <c:v>Mon 05-Oct</c:v>
                </c:pt>
                <c:pt idx="2">
                  <c:v>Sun 04-Oct</c:v>
                </c:pt>
                <c:pt idx="3">
                  <c:v>Sat 03-Oct</c:v>
                </c:pt>
                <c:pt idx="4">
                  <c:v>Fri 02-Oct</c:v>
                </c:pt>
                <c:pt idx="5">
                  <c:v>Thu 01-Oct</c:v>
                </c:pt>
                <c:pt idx="6">
                  <c:v>Wed 30-Sep</c:v>
                </c:pt>
                <c:pt idx="7">
                  <c:v>Tue 29-Sep</c:v>
                </c:pt>
                <c:pt idx="8">
                  <c:v>Mon 28-Sep</c:v>
                </c:pt>
                <c:pt idx="9">
                  <c:v>Sun 27-Sep</c:v>
                </c:pt>
                <c:pt idx="10">
                  <c:v>Sat 26-Sep</c:v>
                </c:pt>
                <c:pt idx="11">
                  <c:v>Fri 25-Sep</c:v>
                </c:pt>
              </c:strCache>
            </c:strRef>
          </c:cat>
          <c:val>
            <c:numRef>
              <c:f>'Day over Day'!$F$6:$F$17</c:f>
              <c:numCache>
                <c:formatCode>General</c:formatCode>
                <c:ptCount val="12"/>
                <c:pt idx="0">
                  <c:v>2</c:v>
                </c:pt>
                <c:pt idx="1">
                  <c:v>0</c:v>
                </c:pt>
                <c:pt idx="2">
                  <c:v>0</c:v>
                </c:pt>
                <c:pt idx="3">
                  <c:v>0</c:v>
                </c:pt>
                <c:pt idx="4">
                  <c:v>0</c:v>
                </c:pt>
                <c:pt idx="5">
                  <c:v>0</c:v>
                </c:pt>
                <c:pt idx="6">
                  <c:v>0</c:v>
                </c:pt>
                <c:pt idx="7">
                  <c:v>0</c:v>
                </c:pt>
                <c:pt idx="8">
                  <c:v>0</c:v>
                </c:pt>
                <c:pt idx="9">
                  <c:v>0</c:v>
                </c:pt>
                <c:pt idx="10">
                  <c:v>0</c:v>
                </c:pt>
                <c:pt idx="11">
                  <c:v>0</c:v>
                </c:pt>
              </c:numCache>
            </c:numRef>
          </c:val>
        </c:ser>
        <c:gapWidth val="150"/>
        <c:overlap val="100"/>
        <c:axId val="46887804"/>
        <c:axId val="65559790"/>
      </c:barChart>
      <c:catAx>
        <c:axId val="46887804"/>
        <c:scaling>
          <c:orientation val="maxMin"/>
        </c:scaling>
        <c:delete val="0"/>
        <c:axPos val="b"/>
        <c:numFmt formatCode="dd\-mmm"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5559790"/>
        <c:crosses val="autoZero"/>
        <c:auto val="1"/>
        <c:lblAlgn val="ctr"/>
        <c:lblOffset val="100"/>
        <c:noMultiLvlLbl val="0"/>
      </c:catAx>
      <c:valAx>
        <c:axId val="65559790"/>
        <c:scaling>
          <c:orientation val="minMax"/>
        </c:scaling>
        <c:delete val="0"/>
        <c:axPos val="l"/>
        <c:majorGridlines>
          <c:spPr>
            <a:ln w="9360">
              <a:solidFill>
                <a:srgbClr val="878787"/>
              </a:solidFill>
              <a:round/>
            </a:ln>
          </c:spPr>
        </c:majorGridlines>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6887804"/>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_rels/drawing2.xml.rels><?xml version="1.0" encoding="UTF-8"?>
<Relationships xmlns="http://schemas.openxmlformats.org/package/2006/relationships"><Relationship Id="rId1"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20</xdr:row>
      <xdr:rowOff>78120</xdr:rowOff>
    </xdr:from>
    <xdr:to>
      <xdr:col>8</xdr:col>
      <xdr:colOff>911160</xdr:colOff>
      <xdr:row>37</xdr:row>
      <xdr:rowOff>79200</xdr:rowOff>
    </xdr:to>
    <xdr:graphicFrame>
      <xdr:nvGraphicFramePr>
        <xdr:cNvPr id="0" name="Chart 1"/>
        <xdr:cNvGraphicFramePr/>
      </xdr:nvGraphicFramePr>
      <xdr:xfrm>
        <a:off x="0" y="8391600"/>
        <a:ext cx="6479640" cy="32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11</xdr:col>
      <xdr:colOff>0</xdr:colOff>
      <xdr:row>4</xdr:row>
      <xdr:rowOff>0</xdr:rowOff>
    </xdr:from>
    <xdr:to>
      <xdr:col>22</xdr:col>
      <xdr:colOff>473040</xdr:colOff>
      <xdr:row>18</xdr:row>
      <xdr:rowOff>100080</xdr:rowOff>
    </xdr:to>
    <xdr:graphicFrame>
      <xdr:nvGraphicFramePr>
        <xdr:cNvPr id="1" name="Chart 1"/>
        <xdr:cNvGraphicFramePr/>
      </xdr:nvGraphicFramePr>
      <xdr:xfrm>
        <a:off x="10197360" y="809640"/>
        <a:ext cx="719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28C28"/>
    <pageSetUpPr fitToPage="false"/>
  </sheetPr>
  <dimension ref="A1:M2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2" min="1" style="0" width="11"/>
  </cols>
  <sheetData>
    <row r="1" customFormat="false" ht="30" hidden="false" customHeight="true" outlineLevel="0" collapsed="false">
      <c r="A1" s="1" t="s">
        <v>0</v>
      </c>
      <c r="B1" s="2"/>
      <c r="C1" s="2"/>
      <c r="D1" s="2"/>
      <c r="E1" s="2"/>
      <c r="F1" s="2"/>
      <c r="G1" s="2"/>
      <c r="H1" s="2"/>
      <c r="I1" s="2"/>
      <c r="J1" s="2"/>
      <c r="K1" s="2"/>
      <c r="L1" s="2"/>
      <c r="M1" s="2"/>
    </row>
    <row r="2" customFormat="false" ht="15" hidden="false" customHeight="false" outlineLevel="0" collapsed="false">
      <c r="A2" s="3" t="s">
        <v>1</v>
      </c>
      <c r="B2" s="2"/>
      <c r="C2" s="2"/>
      <c r="D2" s="2"/>
      <c r="E2" s="2"/>
      <c r="F2" s="2"/>
      <c r="G2" s="2"/>
      <c r="H2" s="2"/>
      <c r="I2" s="2"/>
      <c r="J2" s="2"/>
      <c r="K2" s="2"/>
      <c r="L2" s="2"/>
      <c r="M2" s="2"/>
    </row>
    <row r="3" customFormat="false" ht="3.75" hidden="false" customHeight="true" outlineLevel="0" collapsed="false">
      <c r="A3" s="4"/>
      <c r="B3" s="4"/>
      <c r="C3" s="4"/>
      <c r="D3" s="4"/>
      <c r="E3" s="4"/>
      <c r="F3" s="4"/>
      <c r="G3" s="4"/>
      <c r="H3" s="4"/>
      <c r="I3" s="4"/>
      <c r="J3" s="4"/>
      <c r="K3" s="4"/>
      <c r="L3" s="4"/>
      <c r="M3" s="4"/>
    </row>
    <row r="5" customFormat="false" ht="15" hidden="false" customHeight="false" outlineLevel="0" collapsed="false">
      <c r="A5" s="5" t="s">
        <v>2</v>
      </c>
      <c r="B5" s="5"/>
      <c r="C5" s="5" t="s">
        <v>3</v>
      </c>
      <c r="D5" s="5"/>
      <c r="E5" s="5" t="s">
        <v>4</v>
      </c>
      <c r="F5" s="5"/>
      <c r="G5" s="5" t="s">
        <v>5</v>
      </c>
      <c r="H5" s="5"/>
      <c r="I5" s="5" t="s">
        <v>6</v>
      </c>
      <c r="J5" s="5"/>
      <c r="K5" s="5" t="s">
        <v>7</v>
      </c>
      <c r="L5" s="5"/>
    </row>
    <row r="6" customFormat="false" ht="36" hidden="false" customHeight="true" outlineLevel="0" collapsed="false">
      <c r="A6" s="6" t="n">
        <f aca="false">COUNTA('Team Data'!$D$2:$D$27)</f>
        <v>26</v>
      </c>
      <c r="B6" s="6"/>
      <c r="C6" s="7" t="n">
        <f aca="false">COUNTIFS('Team Data'!$G$2:$G$27,"Agent Opportunity")/COUNTA('Team Data'!$D$2:$D$27)</f>
        <v>0.423076923076923</v>
      </c>
      <c r="D6" s="7"/>
      <c r="E6" s="7" t="n">
        <f aca="false">COUNTIFS('Team Data'!$G$2:$G$27,"Comcast Process/Tools")/COUNTA('Team Data'!$D$2:$D$27)</f>
        <v>0.346153846153846</v>
      </c>
      <c r="F6" s="7"/>
      <c r="G6" s="7" t="n">
        <f aca="false">COUNTIFS('Team Data'!$G$2:$G$27,"Customer")/COUNTA('Team Data'!$D$2:$D$27)</f>
        <v>0.153846153846154</v>
      </c>
      <c r="H6" s="7"/>
      <c r="I6" s="7" t="n">
        <f aca="false">COUNTIFS('Team Data'!$G$2:$G$27,"No Audio Found on I3")/COUNTA('Team Data'!$D$2:$D$27)</f>
        <v>0.0769230769230769</v>
      </c>
      <c r="J6" s="7"/>
      <c r="K6" s="6" t="n">
        <f aca="false">COUNTIFS('Agent Scorecard'!J6:J17,"High")+COUNTIFS('Agent Scorecard'!J6:J17,"Medium")</f>
        <v>6</v>
      </c>
      <c r="L6" s="6"/>
    </row>
    <row r="8" customFormat="false" ht="15" hidden="false" customHeight="false" outlineLevel="0" collapsed="false">
      <c r="A8" s="8" t="s">
        <v>8</v>
      </c>
      <c r="B8" s="9"/>
      <c r="C8" s="9"/>
      <c r="D8" s="9"/>
      <c r="E8" s="9"/>
      <c r="F8" s="9"/>
      <c r="G8" s="9"/>
      <c r="H8" s="9"/>
      <c r="I8" s="9"/>
      <c r="J8" s="9"/>
      <c r="K8" s="9"/>
    </row>
    <row r="9" customFormat="false" ht="30" hidden="false" customHeight="true" outlineLevel="0" collapsed="false">
      <c r="A9" s="10" t="s">
        <v>9</v>
      </c>
      <c r="B9" s="10"/>
      <c r="C9" s="10"/>
      <c r="D9" s="10"/>
      <c r="E9" s="10"/>
      <c r="F9" s="10"/>
      <c r="G9" s="10"/>
      <c r="H9" s="10"/>
      <c r="I9" s="10"/>
      <c r="J9" s="10"/>
      <c r="K9" s="10"/>
      <c r="L9" s="10"/>
    </row>
    <row r="10" customFormat="false" ht="30" hidden="false" customHeight="true" outlineLevel="0" collapsed="false">
      <c r="A10" s="10" t="s">
        <v>10</v>
      </c>
      <c r="B10" s="10"/>
      <c r="C10" s="10"/>
      <c r="D10" s="10"/>
      <c r="E10" s="10"/>
      <c r="F10" s="10"/>
      <c r="G10" s="10"/>
      <c r="H10" s="10"/>
      <c r="I10" s="10"/>
      <c r="J10" s="10"/>
      <c r="K10" s="10"/>
      <c r="L10" s="10"/>
    </row>
    <row r="11" customFormat="false" ht="30" hidden="false" customHeight="true" outlineLevel="0" collapsed="false">
      <c r="A11" s="10" t="s">
        <v>11</v>
      </c>
      <c r="B11" s="10"/>
      <c r="C11" s="10"/>
      <c r="D11" s="10"/>
      <c r="E11" s="10"/>
      <c r="F11" s="10"/>
      <c r="G11" s="10"/>
      <c r="H11" s="10"/>
      <c r="I11" s="10"/>
      <c r="J11" s="10"/>
      <c r="K11" s="10"/>
      <c r="L11" s="10"/>
    </row>
    <row r="12" customFormat="false" ht="30" hidden="false" customHeight="true" outlineLevel="0" collapsed="false">
      <c r="A12" s="10" t="s">
        <v>12</v>
      </c>
      <c r="B12" s="10"/>
      <c r="C12" s="10"/>
      <c r="D12" s="10"/>
      <c r="E12" s="10"/>
      <c r="F12" s="10"/>
      <c r="G12" s="10"/>
      <c r="H12" s="10"/>
      <c r="I12" s="10"/>
      <c r="J12" s="10"/>
      <c r="K12" s="10"/>
      <c r="L12" s="10"/>
    </row>
    <row r="13" customFormat="false" ht="30" hidden="false" customHeight="true" outlineLevel="0" collapsed="false">
      <c r="A13" s="10" t="s">
        <v>13</v>
      </c>
      <c r="B13" s="10"/>
      <c r="C13" s="10"/>
      <c r="D13" s="10"/>
      <c r="E13" s="10"/>
      <c r="F13" s="10"/>
      <c r="G13" s="10"/>
      <c r="H13" s="10"/>
      <c r="I13" s="10"/>
      <c r="J13" s="10"/>
      <c r="K13" s="10"/>
      <c r="L13" s="10"/>
    </row>
    <row r="14" customFormat="false" ht="30" hidden="false" customHeight="true" outlineLevel="0" collapsed="false">
      <c r="A14" s="10" t="s">
        <v>14</v>
      </c>
      <c r="B14" s="10"/>
      <c r="C14" s="10"/>
      <c r="D14" s="10"/>
      <c r="E14" s="10"/>
      <c r="F14" s="10"/>
      <c r="G14" s="10"/>
      <c r="H14" s="10"/>
      <c r="I14" s="10"/>
      <c r="J14" s="10"/>
      <c r="K14" s="10"/>
      <c r="L14" s="10"/>
    </row>
    <row r="16" customFormat="false" ht="15" hidden="false" customHeight="false" outlineLevel="0" collapsed="false">
      <c r="A16" s="8" t="s">
        <v>15</v>
      </c>
      <c r="B16" s="9"/>
      <c r="C16" s="9"/>
      <c r="D16" s="9"/>
      <c r="E16" s="9"/>
      <c r="F16" s="9"/>
      <c r="G16" s="9"/>
      <c r="H16" s="9"/>
      <c r="I16" s="9"/>
      <c r="J16" s="9"/>
      <c r="K16" s="9"/>
    </row>
    <row r="17" customFormat="false" ht="30" hidden="false" customHeight="true" outlineLevel="0" collapsed="false">
      <c r="A17" s="10" t="s">
        <v>16</v>
      </c>
      <c r="B17" s="10"/>
      <c r="C17" s="10"/>
      <c r="D17" s="10"/>
      <c r="E17" s="10"/>
      <c r="F17" s="10"/>
      <c r="G17" s="10"/>
      <c r="H17" s="10"/>
      <c r="I17" s="10"/>
      <c r="J17" s="10"/>
      <c r="K17" s="10"/>
      <c r="L17" s="10"/>
    </row>
    <row r="18" customFormat="false" ht="30" hidden="false" customHeight="true" outlineLevel="0" collapsed="false">
      <c r="A18" s="10" t="s">
        <v>17</v>
      </c>
      <c r="B18" s="10"/>
      <c r="C18" s="10"/>
      <c r="D18" s="10"/>
      <c r="E18" s="10"/>
      <c r="F18" s="10"/>
      <c r="G18" s="10"/>
      <c r="H18" s="10"/>
      <c r="I18" s="10"/>
      <c r="J18" s="10"/>
      <c r="K18" s="10"/>
      <c r="L18" s="10"/>
    </row>
    <row r="19" customFormat="false" ht="30" hidden="false" customHeight="true" outlineLevel="0" collapsed="false">
      <c r="A19" s="10" t="s">
        <v>18</v>
      </c>
      <c r="B19" s="10"/>
      <c r="C19" s="10"/>
      <c r="D19" s="10"/>
      <c r="E19" s="10"/>
      <c r="F19" s="10"/>
      <c r="G19" s="10"/>
      <c r="H19" s="10"/>
      <c r="I19" s="10"/>
      <c r="J19" s="10"/>
      <c r="K19" s="10"/>
      <c r="L19" s="10"/>
    </row>
    <row r="20" customFormat="false" ht="30" hidden="false" customHeight="true" outlineLevel="0" collapsed="false">
      <c r="A20" s="10" t="s">
        <v>19</v>
      </c>
      <c r="B20" s="10"/>
      <c r="C20" s="10"/>
      <c r="D20" s="10"/>
      <c r="E20" s="10"/>
      <c r="F20" s="10"/>
      <c r="G20" s="10"/>
      <c r="H20" s="10"/>
      <c r="I20" s="10"/>
      <c r="J20" s="10"/>
      <c r="K20" s="10"/>
      <c r="L20" s="10"/>
    </row>
    <row r="21" customFormat="false" ht="30" hidden="false" customHeight="true" outlineLevel="0" collapsed="false">
      <c r="A21" s="10" t="s">
        <v>20</v>
      </c>
      <c r="B21" s="10"/>
      <c r="C21" s="10"/>
      <c r="D21" s="10"/>
      <c r="E21" s="10"/>
      <c r="F21" s="10"/>
      <c r="G21" s="10"/>
      <c r="H21" s="10"/>
      <c r="I21" s="10"/>
      <c r="J21" s="10"/>
      <c r="K21" s="10"/>
      <c r="L21" s="10"/>
    </row>
    <row r="23" customFormat="false" ht="15" hidden="false" customHeight="false" outlineLevel="0" collapsed="false">
      <c r="A23" s="11" t="s">
        <v>21</v>
      </c>
    </row>
  </sheetData>
  <mergeCells count="23">
    <mergeCell ref="A5:B5"/>
    <mergeCell ref="C5:D5"/>
    <mergeCell ref="E5:F5"/>
    <mergeCell ref="G5:H5"/>
    <mergeCell ref="I5:J5"/>
    <mergeCell ref="K5:L5"/>
    <mergeCell ref="A6:B6"/>
    <mergeCell ref="C6:D6"/>
    <mergeCell ref="E6:F6"/>
    <mergeCell ref="G6:H6"/>
    <mergeCell ref="I6:J6"/>
    <mergeCell ref="K6:L6"/>
    <mergeCell ref="A9:L9"/>
    <mergeCell ref="A10:L10"/>
    <mergeCell ref="A11:L11"/>
    <mergeCell ref="A12:L12"/>
    <mergeCell ref="A13:L13"/>
    <mergeCell ref="A14:L14"/>
    <mergeCell ref="A17:L17"/>
    <mergeCell ref="A18:L18"/>
    <mergeCell ref="A19:L19"/>
    <mergeCell ref="A20:L20"/>
    <mergeCell ref="A21:L2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28C28"/>
    <pageSetUpPr fitToPage="false"/>
  </sheetPr>
  <dimension ref="A1:N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1"/>
    <col collapsed="false" customWidth="true" hidden="false" outlineLevel="0" max="3" min="3" style="0" width="8"/>
    <col collapsed="false" customWidth="true" hidden="false" outlineLevel="0" max="7" min="4" style="0" width="9"/>
    <col collapsed="false" customWidth="true" hidden="false" outlineLevel="0" max="8" min="8" style="0" width="10"/>
    <col collapsed="false" customWidth="true" hidden="false" outlineLevel="0" max="9" min="9" style="0" width="26"/>
    <col collapsed="false" customWidth="true" hidden="false" outlineLevel="0" max="10" min="10" style="0" width="9"/>
    <col collapsed="false" customWidth="true" hidden="false" outlineLevel="0" max="11" min="11" style="0" width="60"/>
    <col collapsed="false" customWidth="true" hidden="false" outlineLevel="0" max="13" min="12" style="0" width="16"/>
    <col collapsed="false" customWidth="true" hidden="false" outlineLevel="0" max="14" min="14" style="0" width="12"/>
  </cols>
  <sheetData>
    <row r="1" customFormat="false" ht="30" hidden="false" customHeight="true" outlineLevel="0" collapsed="false">
      <c r="A1" s="1" t="s">
        <v>22</v>
      </c>
      <c r="B1" s="2"/>
      <c r="C1" s="2"/>
      <c r="D1" s="2"/>
      <c r="E1" s="2"/>
      <c r="F1" s="2"/>
      <c r="G1" s="2"/>
      <c r="H1" s="2"/>
      <c r="I1" s="2"/>
      <c r="J1" s="2"/>
      <c r="K1" s="2"/>
      <c r="L1" s="2"/>
      <c r="M1" s="2"/>
    </row>
    <row r="2" customFormat="false" ht="15" hidden="false" customHeight="false" outlineLevel="0" collapsed="false">
      <c r="A2" s="3" t="s">
        <v>23</v>
      </c>
      <c r="B2" s="2"/>
      <c r="C2" s="2"/>
      <c r="D2" s="2"/>
      <c r="E2" s="2"/>
      <c r="F2" s="2"/>
      <c r="G2" s="2"/>
      <c r="H2" s="2"/>
      <c r="I2" s="2"/>
      <c r="J2" s="2"/>
      <c r="K2" s="2"/>
      <c r="L2" s="2"/>
      <c r="M2" s="2"/>
    </row>
    <row r="3" customFormat="false" ht="3.75" hidden="false" customHeight="true" outlineLevel="0" collapsed="false">
      <c r="A3" s="4"/>
      <c r="B3" s="4"/>
      <c r="C3" s="4"/>
      <c r="D3" s="4"/>
      <c r="E3" s="4"/>
      <c r="F3" s="4"/>
      <c r="G3" s="4"/>
      <c r="H3" s="4"/>
      <c r="I3" s="4"/>
      <c r="J3" s="4"/>
      <c r="K3" s="4"/>
      <c r="L3" s="4"/>
      <c r="M3" s="4"/>
    </row>
    <row r="5" customFormat="false" ht="23.85" hidden="false" customHeight="false" outlineLevel="0" collapsed="false">
      <c r="A5" s="12" t="s">
        <v>24</v>
      </c>
      <c r="B5" s="12" t="s">
        <v>25</v>
      </c>
      <c r="C5" s="12" t="s">
        <v>2</v>
      </c>
      <c r="D5" s="12" t="s">
        <v>26</v>
      </c>
      <c r="E5" s="12" t="s">
        <v>27</v>
      </c>
      <c r="F5" s="12" t="s">
        <v>28</v>
      </c>
      <c r="G5" s="12" t="s">
        <v>29</v>
      </c>
      <c r="H5" s="12" t="s">
        <v>3</v>
      </c>
      <c r="I5" s="12" t="s">
        <v>30</v>
      </c>
      <c r="J5" s="12" t="s">
        <v>31</v>
      </c>
      <c r="K5" s="12" t="s">
        <v>32</v>
      </c>
      <c r="L5" s="12" t="s">
        <v>33</v>
      </c>
      <c r="M5" s="12" t="s">
        <v>34</v>
      </c>
      <c r="N5" s="12" t="s">
        <v>35</v>
      </c>
    </row>
    <row r="6" customFormat="false" ht="43.5" hidden="false" customHeight="true" outlineLevel="0" collapsed="false">
      <c r="A6" s="13" t="s">
        <v>36</v>
      </c>
      <c r="B6" s="13" t="s">
        <v>37</v>
      </c>
      <c r="C6" s="13" t="n">
        <f aca="false">COUNTIFS('Team Data'!$D$2:$D$27,A6)</f>
        <v>4</v>
      </c>
      <c r="D6" s="14" t="n">
        <f aca="false">COUNTIFS('Team Data'!$D$2:$D$27,$A6,'Team Data'!$G$2:$G$27,"Agent Opportunity")</f>
        <v>3</v>
      </c>
      <c r="E6" s="13" t="n">
        <f aca="false">COUNTIFS('Team Data'!$D$2:$D$27,$A6,'Team Data'!$G$2:$G$27,"Comcast Process/Tools")</f>
        <v>1</v>
      </c>
      <c r="F6" s="13" t="n">
        <f aca="false">COUNTIFS('Team Data'!$D$2:$D$27,$A6,'Team Data'!$G$2:$G$27,"Customer")</f>
        <v>0</v>
      </c>
      <c r="G6" s="13" t="n">
        <f aca="false">COUNTIFS('Team Data'!$D$2:$D$27,$A6,'Team Data'!$G$2:$G$27,"No Audio Found on I3")</f>
        <v>0</v>
      </c>
      <c r="H6" s="15" t="n">
        <f aca="false">IF(C6=0,0,D6/C6)</f>
        <v>0.75</v>
      </c>
      <c r="I6" s="16" t="s">
        <v>38</v>
      </c>
      <c r="J6" s="13" t="s">
        <v>39</v>
      </c>
      <c r="K6" s="16" t="s">
        <v>40</v>
      </c>
      <c r="L6" s="13" t="s">
        <v>41</v>
      </c>
      <c r="M6" s="17"/>
      <c r="N6" s="17"/>
    </row>
    <row r="7" customFormat="false" ht="43.5" hidden="false" customHeight="true" outlineLevel="0" collapsed="false">
      <c r="A7" s="18" t="s">
        <v>42</v>
      </c>
      <c r="B7" s="18" t="s">
        <v>43</v>
      </c>
      <c r="C7" s="18" t="n">
        <f aca="false">COUNTIFS('Team Data'!$D$2:$D$27,A7)</f>
        <v>5</v>
      </c>
      <c r="D7" s="19" t="n">
        <f aca="false">COUNTIFS('Team Data'!$D$2:$D$27,$A7,'Team Data'!$G$2:$G$27,"Agent Opportunity")</f>
        <v>2</v>
      </c>
      <c r="E7" s="18" t="n">
        <f aca="false">COUNTIFS('Team Data'!$D$2:$D$27,$A7,'Team Data'!$G$2:$G$27,"Comcast Process/Tools")</f>
        <v>3</v>
      </c>
      <c r="F7" s="18" t="n">
        <f aca="false">COUNTIFS('Team Data'!$D$2:$D$27,$A7,'Team Data'!$G$2:$G$27,"Customer")</f>
        <v>0</v>
      </c>
      <c r="G7" s="18" t="n">
        <f aca="false">COUNTIFS('Team Data'!$D$2:$D$27,$A7,'Team Data'!$G$2:$G$27,"No Audio Found on I3")</f>
        <v>0</v>
      </c>
      <c r="H7" s="20" t="n">
        <f aca="false">IF(C7=0,0,D7/C7)</f>
        <v>0.4</v>
      </c>
      <c r="I7" s="21" t="s">
        <v>38</v>
      </c>
      <c r="J7" s="18" t="s">
        <v>39</v>
      </c>
      <c r="K7" s="21" t="s">
        <v>44</v>
      </c>
      <c r="L7" s="18" t="s">
        <v>41</v>
      </c>
      <c r="M7" s="17"/>
      <c r="N7" s="17"/>
    </row>
    <row r="8" customFormat="false" ht="43.5" hidden="false" customHeight="true" outlineLevel="0" collapsed="false">
      <c r="A8" s="13" t="s">
        <v>45</v>
      </c>
      <c r="B8" s="13" t="s">
        <v>46</v>
      </c>
      <c r="C8" s="13" t="n">
        <f aca="false">COUNTIFS('Team Data'!$D$2:$D$27,A8)</f>
        <v>2</v>
      </c>
      <c r="D8" s="14" t="n">
        <f aca="false">COUNTIFS('Team Data'!$D$2:$D$27,$A8,'Team Data'!$G$2:$G$27,"Agent Opportunity")</f>
        <v>2</v>
      </c>
      <c r="E8" s="13" t="n">
        <f aca="false">COUNTIFS('Team Data'!$D$2:$D$27,$A8,'Team Data'!$G$2:$G$27,"Comcast Process/Tools")</f>
        <v>0</v>
      </c>
      <c r="F8" s="13" t="n">
        <f aca="false">COUNTIFS('Team Data'!$D$2:$D$27,$A8,'Team Data'!$G$2:$G$27,"Customer")</f>
        <v>0</v>
      </c>
      <c r="G8" s="13" t="n">
        <f aca="false">COUNTIFS('Team Data'!$D$2:$D$27,$A8,'Team Data'!$G$2:$G$27,"No Audio Found on I3")</f>
        <v>0</v>
      </c>
      <c r="H8" s="15" t="n">
        <f aca="false">IF(C8=0,0,D8/C8)</f>
        <v>1</v>
      </c>
      <c r="I8" s="16" t="s">
        <v>47</v>
      </c>
      <c r="J8" s="13" t="s">
        <v>39</v>
      </c>
      <c r="K8" s="16" t="s">
        <v>48</v>
      </c>
      <c r="L8" s="13" t="s">
        <v>41</v>
      </c>
      <c r="M8" s="17"/>
      <c r="N8" s="17"/>
    </row>
    <row r="9" customFormat="false" ht="43.5" hidden="false" customHeight="true" outlineLevel="0" collapsed="false">
      <c r="A9" s="18" t="s">
        <v>49</v>
      </c>
      <c r="B9" s="18" t="s">
        <v>46</v>
      </c>
      <c r="C9" s="18" t="n">
        <f aca="false">COUNTIFS('Team Data'!$D$2:$D$27,A9)</f>
        <v>2</v>
      </c>
      <c r="D9" s="19" t="n">
        <f aca="false">COUNTIFS('Team Data'!$D$2:$D$27,$A9,'Team Data'!$G$2:$G$27,"Agent Opportunity")</f>
        <v>1</v>
      </c>
      <c r="E9" s="18" t="n">
        <f aca="false">COUNTIFS('Team Data'!$D$2:$D$27,$A9,'Team Data'!$G$2:$G$27,"Comcast Process/Tools")</f>
        <v>0</v>
      </c>
      <c r="F9" s="18" t="n">
        <f aca="false">COUNTIFS('Team Data'!$D$2:$D$27,$A9,'Team Data'!$G$2:$G$27,"Customer")</f>
        <v>0</v>
      </c>
      <c r="G9" s="18" t="n">
        <f aca="false">COUNTIFS('Team Data'!$D$2:$D$27,$A9,'Team Data'!$G$2:$G$27,"No Audio Found on I3")</f>
        <v>1</v>
      </c>
      <c r="H9" s="20" t="n">
        <f aca="false">IF(C9=0,0,D9/C9)</f>
        <v>0.5</v>
      </c>
      <c r="I9" s="21" t="s">
        <v>50</v>
      </c>
      <c r="J9" s="18" t="s">
        <v>51</v>
      </c>
      <c r="K9" s="21" t="s">
        <v>52</v>
      </c>
      <c r="L9" s="18" t="s">
        <v>53</v>
      </c>
      <c r="M9" s="17"/>
      <c r="N9" s="17"/>
    </row>
    <row r="10" customFormat="false" ht="43.5" hidden="false" customHeight="true" outlineLevel="0" collapsed="false">
      <c r="A10" s="13" t="s">
        <v>54</v>
      </c>
      <c r="B10" s="13" t="s">
        <v>46</v>
      </c>
      <c r="C10" s="13" t="n">
        <f aca="false">COUNTIFS('Team Data'!$D$2:$D$27,A10)</f>
        <v>1</v>
      </c>
      <c r="D10" s="14" t="n">
        <f aca="false">COUNTIFS('Team Data'!$D$2:$D$27,$A10,'Team Data'!$G$2:$G$27,"Agent Opportunity")</f>
        <v>1</v>
      </c>
      <c r="E10" s="13" t="n">
        <f aca="false">COUNTIFS('Team Data'!$D$2:$D$27,$A10,'Team Data'!$G$2:$G$27,"Comcast Process/Tools")</f>
        <v>0</v>
      </c>
      <c r="F10" s="13" t="n">
        <f aca="false">COUNTIFS('Team Data'!$D$2:$D$27,$A10,'Team Data'!$G$2:$G$27,"Customer")</f>
        <v>0</v>
      </c>
      <c r="G10" s="13" t="n">
        <f aca="false">COUNTIFS('Team Data'!$D$2:$D$27,$A10,'Team Data'!$G$2:$G$27,"No Audio Found on I3")</f>
        <v>0</v>
      </c>
      <c r="H10" s="15" t="n">
        <f aca="false">IF(C10=0,0,D10/C10)</f>
        <v>1</v>
      </c>
      <c r="I10" s="16" t="s">
        <v>38</v>
      </c>
      <c r="J10" s="13" t="s">
        <v>51</v>
      </c>
      <c r="K10" s="16" t="s">
        <v>55</v>
      </c>
      <c r="L10" s="13" t="s">
        <v>41</v>
      </c>
      <c r="M10" s="17"/>
      <c r="N10" s="17"/>
    </row>
    <row r="11" customFormat="false" ht="43.5" hidden="false" customHeight="true" outlineLevel="0" collapsed="false">
      <c r="A11" s="18" t="s">
        <v>56</v>
      </c>
      <c r="B11" s="18" t="s">
        <v>57</v>
      </c>
      <c r="C11" s="18" t="n">
        <f aca="false">COUNTIFS('Team Data'!$D$2:$D$27,A11)</f>
        <v>2</v>
      </c>
      <c r="D11" s="19" t="n">
        <f aca="false">COUNTIFS('Team Data'!$D$2:$D$27,$A11,'Team Data'!$G$2:$G$27,"Agent Opportunity")</f>
        <v>1</v>
      </c>
      <c r="E11" s="18" t="n">
        <f aca="false">COUNTIFS('Team Data'!$D$2:$D$27,$A11,'Team Data'!$G$2:$G$27,"Comcast Process/Tools")</f>
        <v>1</v>
      </c>
      <c r="F11" s="18" t="n">
        <f aca="false">COUNTIFS('Team Data'!$D$2:$D$27,$A11,'Team Data'!$G$2:$G$27,"Customer")</f>
        <v>0</v>
      </c>
      <c r="G11" s="18" t="n">
        <f aca="false">COUNTIFS('Team Data'!$D$2:$D$27,$A11,'Team Data'!$G$2:$G$27,"No Audio Found on I3")</f>
        <v>0</v>
      </c>
      <c r="H11" s="20" t="n">
        <f aca="false">IF(C11=0,0,D11/C11)</f>
        <v>0.5</v>
      </c>
      <c r="I11" s="21" t="s">
        <v>38</v>
      </c>
      <c r="J11" s="18" t="s">
        <v>51</v>
      </c>
      <c r="K11" s="21" t="s">
        <v>58</v>
      </c>
      <c r="L11" s="18" t="s">
        <v>59</v>
      </c>
      <c r="M11" s="17"/>
      <c r="N11" s="17"/>
    </row>
    <row r="12" customFormat="false" ht="43.5" hidden="false" customHeight="true" outlineLevel="0" collapsed="false">
      <c r="A12" s="13" t="s">
        <v>60</v>
      </c>
      <c r="B12" s="13" t="s">
        <v>61</v>
      </c>
      <c r="C12" s="13" t="n">
        <f aca="false">COUNTIFS('Team Data'!$D$2:$D$27,A12)</f>
        <v>4</v>
      </c>
      <c r="D12" s="14" t="n">
        <f aca="false">COUNTIFS('Team Data'!$D$2:$D$27,$A12,'Team Data'!$G$2:$G$27,"Agent Opportunity")</f>
        <v>1</v>
      </c>
      <c r="E12" s="13" t="n">
        <f aca="false">COUNTIFS('Team Data'!$D$2:$D$27,$A12,'Team Data'!$G$2:$G$27,"Comcast Process/Tools")</f>
        <v>0</v>
      </c>
      <c r="F12" s="13" t="n">
        <f aca="false">COUNTIFS('Team Data'!$D$2:$D$27,$A12,'Team Data'!$G$2:$G$27,"Customer")</f>
        <v>3</v>
      </c>
      <c r="G12" s="13" t="n">
        <f aca="false">COUNTIFS('Team Data'!$D$2:$D$27,$A12,'Team Data'!$G$2:$G$27,"No Audio Found on I3")</f>
        <v>0</v>
      </c>
      <c r="H12" s="15" t="n">
        <f aca="false">IF(C12=0,0,D12/C12)</f>
        <v>0.25</v>
      </c>
      <c r="I12" s="16" t="s">
        <v>62</v>
      </c>
      <c r="J12" s="13" t="s">
        <v>63</v>
      </c>
      <c r="K12" s="16" t="s">
        <v>64</v>
      </c>
      <c r="L12" s="13" t="s">
        <v>65</v>
      </c>
      <c r="M12" s="17"/>
      <c r="N12" s="17"/>
    </row>
    <row r="13" customFormat="false" ht="43.5" hidden="false" customHeight="true" outlineLevel="0" collapsed="false">
      <c r="A13" s="18" t="s">
        <v>66</v>
      </c>
      <c r="B13" s="18" t="s">
        <v>67</v>
      </c>
      <c r="C13" s="18" t="n">
        <f aca="false">COUNTIFS('Team Data'!$D$2:$D$27,A13)</f>
        <v>1</v>
      </c>
      <c r="D13" s="19" t="n">
        <f aca="false">COUNTIFS('Team Data'!$D$2:$D$27,$A13,'Team Data'!$G$2:$G$27,"Agent Opportunity")</f>
        <v>0</v>
      </c>
      <c r="E13" s="18" t="n">
        <f aca="false">COUNTIFS('Team Data'!$D$2:$D$27,$A13,'Team Data'!$G$2:$G$27,"Comcast Process/Tools")</f>
        <v>0</v>
      </c>
      <c r="F13" s="18" t="n">
        <f aca="false">COUNTIFS('Team Data'!$D$2:$D$27,$A13,'Team Data'!$G$2:$G$27,"Customer")</f>
        <v>1</v>
      </c>
      <c r="G13" s="18" t="n">
        <f aca="false">COUNTIFS('Team Data'!$D$2:$D$27,$A13,'Team Data'!$G$2:$G$27,"No Audio Found on I3")</f>
        <v>0</v>
      </c>
      <c r="H13" s="20" t="n">
        <f aca="false">IF(C13=0,0,D13/C13)</f>
        <v>0</v>
      </c>
      <c r="I13" s="21" t="s">
        <v>46</v>
      </c>
      <c r="J13" s="18" t="s">
        <v>63</v>
      </c>
      <c r="K13" s="21" t="s">
        <v>68</v>
      </c>
      <c r="L13" s="18" t="s">
        <v>53</v>
      </c>
      <c r="M13" s="17"/>
      <c r="N13" s="17"/>
    </row>
    <row r="14" customFormat="false" ht="43.5" hidden="false" customHeight="true" outlineLevel="0" collapsed="false">
      <c r="A14" s="13" t="s">
        <v>69</v>
      </c>
      <c r="B14" s="13" t="s">
        <v>46</v>
      </c>
      <c r="C14" s="13" t="n">
        <f aca="false">COUNTIFS('Team Data'!$D$2:$D$27,A14)</f>
        <v>1</v>
      </c>
      <c r="D14" s="14" t="n">
        <f aca="false">COUNTIFS('Team Data'!$D$2:$D$27,$A14,'Team Data'!$G$2:$G$27,"Agent Opportunity")</f>
        <v>0</v>
      </c>
      <c r="E14" s="13" t="n">
        <f aca="false">COUNTIFS('Team Data'!$D$2:$D$27,$A14,'Team Data'!$G$2:$G$27,"Comcast Process/Tools")</f>
        <v>1</v>
      </c>
      <c r="F14" s="13" t="n">
        <f aca="false">COUNTIFS('Team Data'!$D$2:$D$27,$A14,'Team Data'!$G$2:$G$27,"Customer")</f>
        <v>0</v>
      </c>
      <c r="G14" s="13" t="n">
        <f aca="false">COUNTIFS('Team Data'!$D$2:$D$27,$A14,'Team Data'!$G$2:$G$27,"No Audio Found on I3")</f>
        <v>0</v>
      </c>
      <c r="H14" s="15" t="n">
        <f aca="false">IF(C14=0,0,D14/C14)</f>
        <v>0</v>
      </c>
      <c r="I14" s="16" t="s">
        <v>46</v>
      </c>
      <c r="J14" s="13" t="s">
        <v>70</v>
      </c>
      <c r="K14" s="16" t="s">
        <v>71</v>
      </c>
      <c r="L14" s="13" t="s">
        <v>46</v>
      </c>
      <c r="M14" s="17"/>
      <c r="N14" s="17"/>
    </row>
    <row r="15" customFormat="false" ht="43.5" hidden="false" customHeight="true" outlineLevel="0" collapsed="false">
      <c r="A15" s="18" t="s">
        <v>72</v>
      </c>
      <c r="B15" s="18" t="s">
        <v>46</v>
      </c>
      <c r="C15" s="18" t="n">
        <f aca="false">COUNTIFS('Team Data'!$D$2:$D$27,A15)</f>
        <v>1</v>
      </c>
      <c r="D15" s="19" t="n">
        <f aca="false">COUNTIFS('Team Data'!$D$2:$D$27,$A15,'Team Data'!$G$2:$G$27,"Agent Opportunity")</f>
        <v>0</v>
      </c>
      <c r="E15" s="18" t="n">
        <f aca="false">COUNTIFS('Team Data'!$D$2:$D$27,$A15,'Team Data'!$G$2:$G$27,"Comcast Process/Tools")</f>
        <v>0</v>
      </c>
      <c r="F15" s="18" t="n">
        <f aca="false">COUNTIFS('Team Data'!$D$2:$D$27,$A15,'Team Data'!$G$2:$G$27,"Customer")</f>
        <v>0</v>
      </c>
      <c r="G15" s="18" t="n">
        <f aca="false">COUNTIFS('Team Data'!$D$2:$D$27,$A15,'Team Data'!$G$2:$G$27,"No Audio Found on I3")</f>
        <v>1</v>
      </c>
      <c r="H15" s="20" t="n">
        <f aca="false">IF(C15=0,0,D15/C15)</f>
        <v>0</v>
      </c>
      <c r="I15" s="21" t="s">
        <v>46</v>
      </c>
      <c r="J15" s="18" t="s">
        <v>70</v>
      </c>
      <c r="K15" s="21" t="s">
        <v>73</v>
      </c>
      <c r="L15" s="18" t="s">
        <v>46</v>
      </c>
      <c r="M15" s="17"/>
      <c r="N15" s="17"/>
    </row>
    <row r="16" customFormat="false" ht="43.5" hidden="false" customHeight="true" outlineLevel="0" collapsed="false">
      <c r="A16" s="13" t="s">
        <v>74</v>
      </c>
      <c r="B16" s="13" t="s">
        <v>75</v>
      </c>
      <c r="C16" s="13" t="n">
        <f aca="false">COUNTIFS('Team Data'!$D$2:$D$27,A16)</f>
        <v>2</v>
      </c>
      <c r="D16" s="14" t="n">
        <f aca="false">COUNTIFS('Team Data'!$D$2:$D$27,$A16,'Team Data'!$G$2:$G$27,"Agent Opportunity")</f>
        <v>0</v>
      </c>
      <c r="E16" s="13" t="n">
        <f aca="false">COUNTIFS('Team Data'!$D$2:$D$27,$A16,'Team Data'!$G$2:$G$27,"Comcast Process/Tools")</f>
        <v>2</v>
      </c>
      <c r="F16" s="13" t="n">
        <f aca="false">COUNTIFS('Team Data'!$D$2:$D$27,$A16,'Team Data'!$G$2:$G$27,"Customer")</f>
        <v>0</v>
      </c>
      <c r="G16" s="13" t="n">
        <f aca="false">COUNTIFS('Team Data'!$D$2:$D$27,$A16,'Team Data'!$G$2:$G$27,"No Audio Found on I3")</f>
        <v>0</v>
      </c>
      <c r="H16" s="15" t="n">
        <f aca="false">IF(C16=0,0,D16/C16)</f>
        <v>0</v>
      </c>
      <c r="I16" s="16" t="s">
        <v>46</v>
      </c>
      <c r="J16" s="13" t="s">
        <v>70</v>
      </c>
      <c r="K16" s="16" t="s">
        <v>76</v>
      </c>
      <c r="L16" s="13" t="s">
        <v>46</v>
      </c>
      <c r="M16" s="17"/>
      <c r="N16" s="17"/>
    </row>
    <row r="17" customFormat="false" ht="43.5" hidden="false" customHeight="true" outlineLevel="0" collapsed="false">
      <c r="A17" s="18" t="s">
        <v>77</v>
      </c>
      <c r="B17" s="18" t="s">
        <v>57</v>
      </c>
      <c r="C17" s="18" t="n">
        <f aca="false">COUNTIFS('Team Data'!$D$2:$D$27,A17)</f>
        <v>1</v>
      </c>
      <c r="D17" s="19" t="n">
        <f aca="false">COUNTIFS('Team Data'!$D$2:$D$27,$A17,'Team Data'!$G$2:$G$27,"Agent Opportunity")</f>
        <v>0</v>
      </c>
      <c r="E17" s="18" t="n">
        <f aca="false">COUNTIFS('Team Data'!$D$2:$D$27,$A17,'Team Data'!$G$2:$G$27,"Comcast Process/Tools")</f>
        <v>1</v>
      </c>
      <c r="F17" s="18" t="n">
        <f aca="false">COUNTIFS('Team Data'!$D$2:$D$27,$A17,'Team Data'!$G$2:$G$27,"Customer")</f>
        <v>0</v>
      </c>
      <c r="G17" s="18" t="n">
        <f aca="false">COUNTIFS('Team Data'!$D$2:$D$27,$A17,'Team Data'!$G$2:$G$27,"No Audio Found on I3")</f>
        <v>0</v>
      </c>
      <c r="H17" s="20" t="n">
        <f aca="false">IF(C17=0,0,D17/C17)</f>
        <v>0</v>
      </c>
      <c r="I17" s="21" t="s">
        <v>46</v>
      </c>
      <c r="J17" s="18" t="s">
        <v>70</v>
      </c>
      <c r="K17" s="21" t="s">
        <v>78</v>
      </c>
      <c r="L17" s="18" t="s">
        <v>46</v>
      </c>
      <c r="M17" s="17"/>
      <c r="N17" s="17"/>
    </row>
    <row r="18" customFormat="false" ht="15" hidden="false" customHeight="false" outlineLevel="0" collapsed="false">
      <c r="A18" s="22" t="s">
        <v>79</v>
      </c>
      <c r="B18" s="22"/>
      <c r="C18" s="22" t="n">
        <f aca="false">SUM(C6:C17)</f>
        <v>26</v>
      </c>
      <c r="D18" s="22" t="n">
        <f aca="false">SUM(D6:D17)</f>
        <v>11</v>
      </c>
      <c r="E18" s="22" t="n">
        <f aca="false">SUM(E6:E17)</f>
        <v>9</v>
      </c>
      <c r="F18" s="22" t="n">
        <f aca="false">SUM(F6:F17)</f>
        <v>4</v>
      </c>
      <c r="G18" s="22" t="n">
        <f aca="false">SUM(G6:G17)</f>
        <v>2</v>
      </c>
      <c r="H18" s="23" t="n">
        <f aca="false">D18/C18</f>
        <v>0.423076923076923</v>
      </c>
      <c r="I18" s="22"/>
      <c r="J18" s="22"/>
      <c r="K18" s="22"/>
      <c r="L18" s="22"/>
      <c r="M18" s="22"/>
      <c r="N18" s="22"/>
    </row>
    <row r="20" customFormat="false" ht="15" hidden="false" customHeight="false" outlineLevel="0" collapsed="false">
      <c r="A20" s="24" t="s">
        <v>80</v>
      </c>
    </row>
  </sheetData>
  <conditionalFormatting sqref="J6:J17">
    <cfRule type="cellIs" priority="2" operator="equal" aboveAverage="0" equalAverage="0" bottom="0" percent="0" rank="0" text="" dxfId="0">
      <formula>"High"</formula>
    </cfRule>
    <cfRule type="cellIs" priority="3" operator="equal" aboveAverage="0" equalAverage="0" bottom="0" percent="0" rank="0" text="" dxfId="1">
      <formula>"Medium"</formula>
    </cfRule>
    <cfRule type="cellIs" priority="4" operator="equal" aboveAverage="0" equalAverage="0" bottom="0" percent="0" rank="0" text="" dxfId="2">
      <formula>"None"</formula>
    </cfRule>
  </conditionalFormatting>
  <conditionalFormatting sqref="D6:D17">
    <cfRule type="dataBar" priority="5">
      <dataBar showValue="1" minLength="10" maxLength="90">
        <cfvo type="num" val="0"/>
        <cfvo type="max" val="0"/>
        <color rgb="FFF28C28"/>
      </dataBar>
      <extLst>
        <ext xmlns:x14="http://schemas.microsoft.com/office/spreadsheetml/2009/9/main" uri="{B025F937-C7B1-47D3-B67F-A62EFF666E3E}">
          <x14:id>{10E9A3CE-56CB-4F5D-8739-774EE270A961}</x14:id>
        </ext>
      </extLst>
    </cfRule>
  </conditionalFormatting>
  <dataValidations count="1">
    <dataValidation allowBlank="true" errorStyle="stop" operator="between" showDropDown="false" showErrorMessage="false" showInputMessage="false" sqref="N6:N17" type="list">
      <formula1>"Yes,No,Scheduled"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extLst>
    <ext xmlns:x14="http://schemas.microsoft.com/office/spreadsheetml/2009/9/main" uri="{78C0D931-6437-407d-A8EE-F0AAD7539E65}">
      <x14:conditionalFormattings>
        <x14:conditionalFormatting xmlns:xm="http://schemas.microsoft.com/office/excel/2006/main">
          <x14:cfRule type="dataBar" id="{10E9A3CE-56CB-4F5D-8739-774EE270A961}">
            <x14:dataBar minLength="10" maxLength="90" axisPosition="none" gradient="true">
              <x14:cfvo type="num">
                <xm:f>0</xm:f>
              </x14:cfvo>
              <x14:cfvo type="max"/>
              <x14:negativeFillColor rgb="FFF28C28"/>
              <x14:axisColor rgb="FF000000"/>
            </x14:dataBar>
          </x14:cfRule>
          <xm:sqref>D6:D17</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28C28"/>
    <pageSetUpPr fitToPage="false"/>
  </sheetPr>
  <dimension ref="A1:M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9"/>
    <col collapsed="false" customWidth="true" hidden="false" outlineLevel="0" max="3" min="3" style="0" width="10"/>
    <col collapsed="false" customWidth="true" hidden="false" outlineLevel="0" max="6" min="4" style="0" width="9"/>
    <col collapsed="false" customWidth="true" hidden="false" outlineLevel="0" max="7" min="7" style="0" width="11"/>
    <col collapsed="false" customWidth="true" hidden="false" outlineLevel="0" max="8" min="8" style="0" width="12"/>
    <col collapsed="false" customWidth="true" hidden="false" outlineLevel="0" max="9" min="9" style="0" width="14"/>
    <col collapsed="false" customWidth="true" hidden="false" outlineLevel="0" max="10" min="10" style="0" width="40"/>
  </cols>
  <sheetData>
    <row r="1" customFormat="false" ht="30" hidden="false" customHeight="true" outlineLevel="0" collapsed="false">
      <c r="A1" s="1" t="s">
        <v>81</v>
      </c>
      <c r="B1" s="2"/>
      <c r="C1" s="2"/>
      <c r="D1" s="2"/>
      <c r="E1" s="2"/>
      <c r="F1" s="2"/>
      <c r="G1" s="2"/>
      <c r="H1" s="2"/>
      <c r="I1" s="2"/>
      <c r="J1" s="2"/>
      <c r="K1" s="2"/>
      <c r="L1" s="2"/>
      <c r="M1" s="2"/>
    </row>
    <row r="2" customFormat="false" ht="15" hidden="false" customHeight="false" outlineLevel="0" collapsed="false">
      <c r="A2" s="3" t="s">
        <v>82</v>
      </c>
      <c r="B2" s="2"/>
      <c r="C2" s="2"/>
      <c r="D2" s="2"/>
      <c r="E2" s="2"/>
      <c r="F2" s="2"/>
      <c r="G2" s="2"/>
      <c r="H2" s="2"/>
      <c r="I2" s="2"/>
      <c r="J2" s="2"/>
      <c r="K2" s="2"/>
      <c r="L2" s="2"/>
      <c r="M2" s="2"/>
    </row>
    <row r="3" customFormat="false" ht="3.75" hidden="false" customHeight="true" outlineLevel="0" collapsed="false">
      <c r="A3" s="4"/>
      <c r="B3" s="4"/>
      <c r="C3" s="4"/>
      <c r="D3" s="4"/>
      <c r="E3" s="4"/>
      <c r="F3" s="4"/>
      <c r="G3" s="4"/>
      <c r="H3" s="4"/>
      <c r="I3" s="4"/>
      <c r="J3" s="4"/>
      <c r="K3" s="4"/>
      <c r="L3" s="4"/>
      <c r="M3" s="4"/>
    </row>
    <row r="5" customFormat="false" ht="23.85" hidden="false" customHeight="false" outlineLevel="0" collapsed="false">
      <c r="A5" s="12" t="s">
        <v>83</v>
      </c>
      <c r="B5" s="12" t="s">
        <v>2</v>
      </c>
      <c r="C5" s="12" t="s">
        <v>26</v>
      </c>
      <c r="D5" s="12" t="s">
        <v>27</v>
      </c>
      <c r="E5" s="12" t="s">
        <v>28</v>
      </c>
      <c r="F5" s="12" t="s">
        <v>29</v>
      </c>
      <c r="G5" s="12" t="s">
        <v>3</v>
      </c>
      <c r="H5" s="12" t="s">
        <v>84</v>
      </c>
      <c r="I5" s="12" t="s">
        <v>85</v>
      </c>
      <c r="J5" s="12" t="s">
        <v>86</v>
      </c>
    </row>
    <row r="6" customFormat="false" ht="15" hidden="false" customHeight="false" outlineLevel="0" collapsed="false">
      <c r="A6" s="25" t="n">
        <v>46301</v>
      </c>
      <c r="B6" s="13" t="n">
        <f aca="false">COUNTIFS('Team Data'!$C$2:$C$27,$A6)</f>
        <v>5</v>
      </c>
      <c r="C6" s="13" t="n">
        <f aca="false">COUNTIFS('Team Data'!$C$2:$C$27,$A6,'Team Data'!$G$2:$G$27,"Agent Opportunity")</f>
        <v>1</v>
      </c>
      <c r="D6" s="13" t="n">
        <f aca="false">COUNTIFS('Team Data'!$C$2:$C$27,$A6,'Team Data'!$G$2:$G$27,"Comcast Process/Tools")</f>
        <v>2</v>
      </c>
      <c r="E6" s="13" t="n">
        <f aca="false">COUNTIFS('Team Data'!$C$2:$C$27,$A6,'Team Data'!$G$2:$G$27,"Customer")</f>
        <v>0</v>
      </c>
      <c r="F6" s="13" t="n">
        <f aca="false">COUNTIFS('Team Data'!$C$2:$C$27,$A6,'Team Data'!$G$2:$G$27,"No Audio Found on I3")</f>
        <v>2</v>
      </c>
      <c r="G6" s="15" t="n">
        <f aca="false">IF(B6=0,"-",C6/B6)</f>
        <v>0.2</v>
      </c>
      <c r="H6" s="26" t="n">
        <f aca="false">B6-B7</f>
        <v>2</v>
      </c>
      <c r="I6" s="26" t="n">
        <f aca="false">C6-C7</f>
        <v>-1</v>
      </c>
      <c r="J6" s="13" t="s">
        <v>45</v>
      </c>
    </row>
    <row r="7" customFormat="false" ht="15" hidden="false" customHeight="false" outlineLevel="0" collapsed="false">
      <c r="A7" s="27" t="n">
        <v>46300</v>
      </c>
      <c r="B7" s="18" t="n">
        <f aca="false">COUNTIFS('Team Data'!$C$2:$C$27,$A7)</f>
        <v>3</v>
      </c>
      <c r="C7" s="18" t="n">
        <f aca="false">COUNTIFS('Team Data'!$C$2:$C$27,$A7,'Team Data'!$G$2:$G$27,"Agent Opportunity")</f>
        <v>2</v>
      </c>
      <c r="D7" s="18" t="n">
        <f aca="false">COUNTIFS('Team Data'!$C$2:$C$27,$A7,'Team Data'!$G$2:$G$27,"Comcast Process/Tools")</f>
        <v>1</v>
      </c>
      <c r="E7" s="18" t="n">
        <f aca="false">COUNTIFS('Team Data'!$C$2:$C$27,$A7,'Team Data'!$G$2:$G$27,"Customer")</f>
        <v>0</v>
      </c>
      <c r="F7" s="18" t="n">
        <f aca="false">COUNTIFS('Team Data'!$C$2:$C$27,$A7,'Team Data'!$G$2:$G$27,"No Audio Found on I3")</f>
        <v>0</v>
      </c>
      <c r="G7" s="20" t="n">
        <f aca="false">IF(B7=0,"-",C7/B7)</f>
        <v>0.666666666666667</v>
      </c>
      <c r="H7" s="28" t="n">
        <f aca="false">B7-B8</f>
        <v>2</v>
      </c>
      <c r="I7" s="28" t="n">
        <f aca="false">C7-C8</f>
        <v>1</v>
      </c>
      <c r="J7" s="18" t="s">
        <v>87</v>
      </c>
    </row>
    <row r="8" customFormat="false" ht="15" hidden="false" customHeight="false" outlineLevel="0" collapsed="false">
      <c r="A8" s="25" t="n">
        <v>46299</v>
      </c>
      <c r="B8" s="13" t="n">
        <f aca="false">COUNTIFS('Team Data'!$C$2:$C$27,$A8)</f>
        <v>1</v>
      </c>
      <c r="C8" s="13" t="n">
        <f aca="false">COUNTIFS('Team Data'!$C$2:$C$27,$A8,'Team Data'!$G$2:$G$27,"Agent Opportunity")</f>
        <v>1</v>
      </c>
      <c r="D8" s="13" t="n">
        <f aca="false">COUNTIFS('Team Data'!$C$2:$C$27,$A8,'Team Data'!$G$2:$G$27,"Comcast Process/Tools")</f>
        <v>0</v>
      </c>
      <c r="E8" s="13" t="n">
        <f aca="false">COUNTIFS('Team Data'!$C$2:$C$27,$A8,'Team Data'!$G$2:$G$27,"Customer")</f>
        <v>0</v>
      </c>
      <c r="F8" s="13" t="n">
        <f aca="false">COUNTIFS('Team Data'!$C$2:$C$27,$A8,'Team Data'!$G$2:$G$27,"No Audio Found on I3")</f>
        <v>0</v>
      </c>
      <c r="G8" s="15" t="n">
        <f aca="false">IF(B8=0,"-",C8/B8)</f>
        <v>1</v>
      </c>
      <c r="H8" s="26" t="n">
        <f aca="false">B8-B9</f>
        <v>0</v>
      </c>
      <c r="I8" s="26" t="n">
        <f aca="false">C8-C9</f>
        <v>1</v>
      </c>
      <c r="J8" s="13" t="s">
        <v>60</v>
      </c>
    </row>
    <row r="9" customFormat="false" ht="15" hidden="false" customHeight="false" outlineLevel="0" collapsed="false">
      <c r="A9" s="27" t="n">
        <v>46298</v>
      </c>
      <c r="B9" s="18" t="n">
        <f aca="false">COUNTIFS('Team Data'!$C$2:$C$27,$A9)</f>
        <v>1</v>
      </c>
      <c r="C9" s="18" t="n">
        <f aca="false">COUNTIFS('Team Data'!$C$2:$C$27,$A9,'Team Data'!$G$2:$G$27,"Agent Opportunity")</f>
        <v>0</v>
      </c>
      <c r="D9" s="18" t="n">
        <f aca="false">COUNTIFS('Team Data'!$C$2:$C$27,$A9,'Team Data'!$G$2:$G$27,"Comcast Process/Tools")</f>
        <v>0</v>
      </c>
      <c r="E9" s="18" t="n">
        <f aca="false">COUNTIFS('Team Data'!$C$2:$C$27,$A9,'Team Data'!$G$2:$G$27,"Customer")</f>
        <v>1</v>
      </c>
      <c r="F9" s="18" t="n">
        <f aca="false">COUNTIFS('Team Data'!$C$2:$C$27,$A9,'Team Data'!$G$2:$G$27,"No Audio Found on I3")</f>
        <v>0</v>
      </c>
      <c r="G9" s="20" t="n">
        <f aca="false">IF(B9=0,"-",C9/B9)</f>
        <v>0</v>
      </c>
      <c r="H9" s="28" t="n">
        <f aca="false">B9-B10</f>
        <v>0</v>
      </c>
      <c r="I9" s="28" t="n">
        <f aca="false">C9-C10</f>
        <v>0</v>
      </c>
      <c r="J9" s="18" t="s">
        <v>46</v>
      </c>
    </row>
    <row r="10" customFormat="false" ht="15" hidden="false" customHeight="false" outlineLevel="0" collapsed="false">
      <c r="A10" s="25" t="n">
        <v>46297</v>
      </c>
      <c r="B10" s="13" t="n">
        <f aca="false">COUNTIFS('Team Data'!$C$2:$C$27,$A10)</f>
        <v>1</v>
      </c>
      <c r="C10" s="13" t="n">
        <f aca="false">COUNTIFS('Team Data'!$C$2:$C$27,$A10,'Team Data'!$G$2:$G$27,"Agent Opportunity")</f>
        <v>0</v>
      </c>
      <c r="D10" s="13" t="n">
        <f aca="false">COUNTIFS('Team Data'!$C$2:$C$27,$A10,'Team Data'!$G$2:$G$27,"Comcast Process/Tools")</f>
        <v>1</v>
      </c>
      <c r="E10" s="13" t="n">
        <f aca="false">COUNTIFS('Team Data'!$C$2:$C$27,$A10,'Team Data'!$G$2:$G$27,"Customer")</f>
        <v>0</v>
      </c>
      <c r="F10" s="13" t="n">
        <f aca="false">COUNTIFS('Team Data'!$C$2:$C$27,$A10,'Team Data'!$G$2:$G$27,"No Audio Found on I3")</f>
        <v>0</v>
      </c>
      <c r="G10" s="15" t="n">
        <f aca="false">IF(B10=0,"-",C10/B10)</f>
        <v>0</v>
      </c>
      <c r="H10" s="26" t="n">
        <f aca="false">B10-B11</f>
        <v>-3</v>
      </c>
      <c r="I10" s="26" t="n">
        <f aca="false">C10-C11</f>
        <v>-2</v>
      </c>
      <c r="J10" s="13" t="s">
        <v>46</v>
      </c>
    </row>
    <row r="11" customFormat="false" ht="15" hidden="false" customHeight="false" outlineLevel="0" collapsed="false">
      <c r="A11" s="27" t="n">
        <v>46296</v>
      </c>
      <c r="B11" s="18" t="n">
        <f aca="false">COUNTIFS('Team Data'!$C$2:$C$27,$A11)</f>
        <v>4</v>
      </c>
      <c r="C11" s="18" t="n">
        <f aca="false">COUNTIFS('Team Data'!$C$2:$C$27,$A11,'Team Data'!$G$2:$G$27,"Agent Opportunity")</f>
        <v>2</v>
      </c>
      <c r="D11" s="18" t="n">
        <f aca="false">COUNTIFS('Team Data'!$C$2:$C$27,$A11,'Team Data'!$G$2:$G$27,"Comcast Process/Tools")</f>
        <v>2</v>
      </c>
      <c r="E11" s="18" t="n">
        <f aca="false">COUNTIFS('Team Data'!$C$2:$C$27,$A11,'Team Data'!$G$2:$G$27,"Customer")</f>
        <v>0</v>
      </c>
      <c r="F11" s="18" t="n">
        <f aca="false">COUNTIFS('Team Data'!$C$2:$C$27,$A11,'Team Data'!$G$2:$G$27,"No Audio Found on I3")</f>
        <v>0</v>
      </c>
      <c r="G11" s="20" t="n">
        <f aca="false">IF(B11=0,"-",C11/B11)</f>
        <v>0.5</v>
      </c>
      <c r="H11" s="28" t="n">
        <f aca="false">B11-B12</f>
        <v>2</v>
      </c>
      <c r="I11" s="28" t="n">
        <f aca="false">C11-C12</f>
        <v>1</v>
      </c>
      <c r="J11" s="18" t="s">
        <v>88</v>
      </c>
    </row>
    <row r="12" customFormat="false" ht="15" hidden="false" customHeight="false" outlineLevel="0" collapsed="false">
      <c r="A12" s="25" t="n">
        <v>46295</v>
      </c>
      <c r="B12" s="13" t="n">
        <f aca="false">COUNTIFS('Team Data'!$C$2:$C$27,$A12)</f>
        <v>2</v>
      </c>
      <c r="C12" s="13" t="n">
        <f aca="false">COUNTIFS('Team Data'!$C$2:$C$27,$A12,'Team Data'!$G$2:$G$27,"Agent Opportunity")</f>
        <v>1</v>
      </c>
      <c r="D12" s="13" t="n">
        <f aca="false">COUNTIFS('Team Data'!$C$2:$C$27,$A12,'Team Data'!$G$2:$G$27,"Comcast Process/Tools")</f>
        <v>1</v>
      </c>
      <c r="E12" s="13" t="n">
        <f aca="false">COUNTIFS('Team Data'!$C$2:$C$27,$A12,'Team Data'!$G$2:$G$27,"Customer")</f>
        <v>0</v>
      </c>
      <c r="F12" s="13" t="n">
        <f aca="false">COUNTIFS('Team Data'!$C$2:$C$27,$A12,'Team Data'!$G$2:$G$27,"No Audio Found on I3")</f>
        <v>0</v>
      </c>
      <c r="G12" s="15" t="n">
        <f aca="false">IF(B12=0,"-",C12/B12)</f>
        <v>0.5</v>
      </c>
      <c r="H12" s="26" t="n">
        <f aca="false">B12-B13</f>
        <v>1</v>
      </c>
      <c r="I12" s="26" t="n">
        <f aca="false">C12-C13</f>
        <v>1</v>
      </c>
      <c r="J12" s="13" t="s">
        <v>56</v>
      </c>
    </row>
    <row r="13" customFormat="false" ht="15" hidden="false" customHeight="false" outlineLevel="0" collapsed="false">
      <c r="A13" s="27" t="n">
        <v>46294</v>
      </c>
      <c r="B13" s="18" t="n">
        <f aca="false">COUNTIFS('Team Data'!$C$2:$C$27,$A13)</f>
        <v>1</v>
      </c>
      <c r="C13" s="18" t="n">
        <f aca="false">COUNTIFS('Team Data'!$C$2:$C$27,$A13,'Team Data'!$G$2:$G$27,"Agent Opportunity")</f>
        <v>0</v>
      </c>
      <c r="D13" s="18" t="n">
        <f aca="false">COUNTIFS('Team Data'!$C$2:$C$27,$A13,'Team Data'!$G$2:$G$27,"Comcast Process/Tools")</f>
        <v>1</v>
      </c>
      <c r="E13" s="18" t="n">
        <f aca="false">COUNTIFS('Team Data'!$C$2:$C$27,$A13,'Team Data'!$G$2:$G$27,"Customer")</f>
        <v>0</v>
      </c>
      <c r="F13" s="18" t="n">
        <f aca="false">COUNTIFS('Team Data'!$C$2:$C$27,$A13,'Team Data'!$G$2:$G$27,"No Audio Found on I3")</f>
        <v>0</v>
      </c>
      <c r="G13" s="20" t="n">
        <f aca="false">IF(B13=0,"-",C13/B13)</f>
        <v>0</v>
      </c>
      <c r="H13" s="28" t="n">
        <f aca="false">B13-B14</f>
        <v>-3</v>
      </c>
      <c r="I13" s="28" t="n">
        <f aca="false">C13-C14</f>
        <v>-2</v>
      </c>
      <c r="J13" s="18" t="s">
        <v>46</v>
      </c>
    </row>
    <row r="14" customFormat="false" ht="15" hidden="false" customHeight="false" outlineLevel="0" collapsed="false">
      <c r="A14" s="25" t="n">
        <v>46293</v>
      </c>
      <c r="B14" s="13" t="n">
        <f aca="false">COUNTIFS('Team Data'!$C$2:$C$27,$A14)</f>
        <v>4</v>
      </c>
      <c r="C14" s="13" t="n">
        <f aca="false">COUNTIFS('Team Data'!$C$2:$C$27,$A14,'Team Data'!$G$2:$G$27,"Agent Opportunity")</f>
        <v>2</v>
      </c>
      <c r="D14" s="13" t="n">
        <f aca="false">COUNTIFS('Team Data'!$C$2:$C$27,$A14,'Team Data'!$G$2:$G$27,"Comcast Process/Tools")</f>
        <v>1</v>
      </c>
      <c r="E14" s="13" t="n">
        <f aca="false">COUNTIFS('Team Data'!$C$2:$C$27,$A14,'Team Data'!$G$2:$G$27,"Customer")</f>
        <v>1</v>
      </c>
      <c r="F14" s="13" t="n">
        <f aca="false">COUNTIFS('Team Data'!$C$2:$C$27,$A14,'Team Data'!$G$2:$G$27,"No Audio Found on I3")</f>
        <v>0</v>
      </c>
      <c r="G14" s="15" t="n">
        <f aca="false">IF(B14=0,"-",C14/B14)</f>
        <v>0.5</v>
      </c>
      <c r="H14" s="26" t="n">
        <f aca="false">B14-B15</f>
        <v>2</v>
      </c>
      <c r="I14" s="26" t="n">
        <f aca="false">C14-C15</f>
        <v>2</v>
      </c>
      <c r="J14" s="13" t="s">
        <v>89</v>
      </c>
    </row>
    <row r="15" customFormat="false" ht="15" hidden="false" customHeight="false" outlineLevel="0" collapsed="false">
      <c r="A15" s="27" t="n">
        <v>46292</v>
      </c>
      <c r="B15" s="18" t="n">
        <f aca="false">COUNTIFS('Team Data'!$C$2:$C$27,$A15)</f>
        <v>2</v>
      </c>
      <c r="C15" s="18" t="n">
        <f aca="false">COUNTIFS('Team Data'!$C$2:$C$27,$A15,'Team Data'!$G$2:$G$27,"Agent Opportunity")</f>
        <v>0</v>
      </c>
      <c r="D15" s="18" t="n">
        <f aca="false">COUNTIFS('Team Data'!$C$2:$C$27,$A15,'Team Data'!$G$2:$G$27,"Comcast Process/Tools")</f>
        <v>0</v>
      </c>
      <c r="E15" s="18" t="n">
        <f aca="false">COUNTIFS('Team Data'!$C$2:$C$27,$A15,'Team Data'!$G$2:$G$27,"Customer")</f>
        <v>2</v>
      </c>
      <c r="F15" s="18" t="n">
        <f aca="false">COUNTIFS('Team Data'!$C$2:$C$27,$A15,'Team Data'!$G$2:$G$27,"No Audio Found on I3")</f>
        <v>0</v>
      </c>
      <c r="G15" s="20" t="n">
        <f aca="false">IF(B15=0,"-",C15/B15)</f>
        <v>0</v>
      </c>
      <c r="H15" s="28" t="n">
        <f aca="false">B15-B16</f>
        <v>1</v>
      </c>
      <c r="I15" s="28" t="n">
        <f aca="false">C15-C16</f>
        <v>-1</v>
      </c>
      <c r="J15" s="18" t="s">
        <v>46</v>
      </c>
    </row>
    <row r="16" customFormat="false" ht="15" hidden="false" customHeight="false" outlineLevel="0" collapsed="false">
      <c r="A16" s="25" t="n">
        <v>46291</v>
      </c>
      <c r="B16" s="13" t="n">
        <f aca="false">COUNTIFS('Team Data'!$C$2:$C$27,$A16)</f>
        <v>1</v>
      </c>
      <c r="C16" s="13" t="n">
        <f aca="false">COUNTIFS('Team Data'!$C$2:$C$27,$A16,'Team Data'!$G$2:$G$27,"Agent Opportunity")</f>
        <v>1</v>
      </c>
      <c r="D16" s="13" t="n">
        <f aca="false">COUNTIFS('Team Data'!$C$2:$C$27,$A16,'Team Data'!$G$2:$G$27,"Comcast Process/Tools")</f>
        <v>0</v>
      </c>
      <c r="E16" s="13" t="n">
        <f aca="false">COUNTIFS('Team Data'!$C$2:$C$27,$A16,'Team Data'!$G$2:$G$27,"Customer")</f>
        <v>0</v>
      </c>
      <c r="F16" s="13" t="n">
        <f aca="false">COUNTIFS('Team Data'!$C$2:$C$27,$A16,'Team Data'!$G$2:$G$27,"No Audio Found on I3")</f>
        <v>0</v>
      </c>
      <c r="G16" s="15" t="n">
        <f aca="false">IF(B16=0,"-",C16/B16)</f>
        <v>1</v>
      </c>
      <c r="H16" s="26" t="n">
        <f aca="false">B16-B17</f>
        <v>0</v>
      </c>
      <c r="I16" s="26" t="n">
        <f aca="false">C16-C17</f>
        <v>0</v>
      </c>
      <c r="J16" s="13" t="s">
        <v>36</v>
      </c>
    </row>
    <row r="17" customFormat="false" ht="15" hidden="false" customHeight="false" outlineLevel="0" collapsed="false">
      <c r="A17" s="27" t="n">
        <v>46290</v>
      </c>
      <c r="B17" s="18" t="n">
        <f aca="false">COUNTIFS('Team Data'!$C$2:$C$27,$A17)</f>
        <v>1</v>
      </c>
      <c r="C17" s="18" t="n">
        <f aca="false">COUNTIFS('Team Data'!$C$2:$C$27,$A17,'Team Data'!$G$2:$G$27,"Agent Opportunity")</f>
        <v>1</v>
      </c>
      <c r="D17" s="18" t="n">
        <f aca="false">COUNTIFS('Team Data'!$C$2:$C$27,$A17,'Team Data'!$G$2:$G$27,"Comcast Process/Tools")</f>
        <v>0</v>
      </c>
      <c r="E17" s="18" t="n">
        <f aca="false">COUNTIFS('Team Data'!$C$2:$C$27,$A17,'Team Data'!$G$2:$G$27,"Customer")</f>
        <v>0</v>
      </c>
      <c r="F17" s="18" t="n">
        <f aca="false">COUNTIFS('Team Data'!$C$2:$C$27,$A17,'Team Data'!$G$2:$G$27,"No Audio Found on I3")</f>
        <v>0</v>
      </c>
      <c r="G17" s="20" t="n">
        <f aca="false">IF(B17=0,"-",C17/B17)</f>
        <v>1</v>
      </c>
      <c r="H17" s="28" t="n">
        <f aca="false">0</f>
        <v>0</v>
      </c>
      <c r="I17" s="28" t="n">
        <f aca="false">0</f>
        <v>0</v>
      </c>
      <c r="J17" s="18" t="s">
        <v>54</v>
      </c>
    </row>
    <row r="18" customFormat="false" ht="15" hidden="false" customHeight="false" outlineLevel="0" collapsed="false">
      <c r="A18" s="22" t="s">
        <v>90</v>
      </c>
      <c r="B18" s="22" t="n">
        <f aca="false">SUM(B6:B17)</f>
        <v>26</v>
      </c>
      <c r="C18" s="22" t="n">
        <f aca="false">SUM(C6:C17)</f>
        <v>11</v>
      </c>
      <c r="D18" s="22" t="n">
        <f aca="false">SUM(D6:D17)</f>
        <v>9</v>
      </c>
      <c r="E18" s="22" t="n">
        <f aca="false">SUM(E6:E17)</f>
        <v>4</v>
      </c>
      <c r="F18" s="22" t="n">
        <f aca="false">SUM(F6:F17)</f>
        <v>2</v>
      </c>
      <c r="G18" s="23" t="n">
        <f aca="false">C18/B18</f>
        <v>0.423076923076923</v>
      </c>
      <c r="H18" s="22"/>
      <c r="I18" s="22"/>
      <c r="J18" s="22"/>
    </row>
    <row r="19" customFormat="false" ht="15" hidden="false" customHeight="false" outlineLevel="0" collapsed="false">
      <c r="A19" s="24" t="s">
        <v>91</v>
      </c>
    </row>
  </sheetData>
  <conditionalFormatting sqref="C6:C17">
    <cfRule type="colorScale" priority="2">
      <colorScale>
        <cfvo type="num" val="0"/>
        <cfvo type="max" val="0"/>
        <color rgb="FFFFFFFF"/>
        <color rgb="FFF8696B"/>
      </colorScale>
    </cfRule>
  </conditionalFormatting>
  <conditionalFormatting sqref="H6:I17">
    <cfRule type="cellIs" priority="3" operator="greaterThan" aboveAverage="0" equalAverage="0" bottom="0" percent="0" rank="0" text="" dxfId="3">
      <formula>0</formula>
    </cfRule>
    <cfRule type="cellIs" priority="4" operator="lessThan" aboveAverage="0" equalAverage="0" bottom="0" percent="0" rank="0" text="" dxfId="4">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28C28"/>
    <pageSetUpPr fitToPage="false"/>
  </sheetPr>
  <dimension ref="A1:M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0"/>
    <col collapsed="false" customWidth="true" hidden="false" outlineLevel="0" max="3" min="3" style="0" width="13"/>
    <col collapsed="false" customWidth="true" hidden="false" outlineLevel="0" max="4" min="4" style="0" width="11"/>
    <col collapsed="false" customWidth="true" hidden="false" outlineLevel="0" max="5" min="5" style="0" width="22"/>
    <col collapsed="false" customWidth="true" hidden="false" outlineLevel="0" max="6" min="6" style="0" width="70"/>
    <col collapsed="false" customWidth="true" hidden="false" outlineLevel="0" max="7" min="7" style="0" width="34"/>
    <col collapsed="false" customWidth="true" hidden="false" outlineLevel="0" max="8" min="8" style="0" width="14"/>
    <col collapsed="false" customWidth="true" hidden="false" outlineLevel="0" max="9" min="9" style="0" width="12"/>
    <col collapsed="false" customWidth="true" hidden="false" outlineLevel="0" max="10" min="10" style="0" width="26"/>
    <col collapsed="false" customWidth="true" hidden="false" outlineLevel="0" max="11" min="11" style="0" width="12"/>
    <col collapsed="false" customWidth="true" hidden="false" outlineLevel="0" max="12" min="12" style="0" width="10"/>
  </cols>
  <sheetData>
    <row r="1" customFormat="false" ht="30" hidden="false" customHeight="true" outlineLevel="0" collapsed="false">
      <c r="A1" s="1" t="s">
        <v>92</v>
      </c>
      <c r="B1" s="2"/>
      <c r="C1" s="2"/>
      <c r="D1" s="2"/>
      <c r="E1" s="2"/>
      <c r="F1" s="2"/>
      <c r="G1" s="2"/>
      <c r="H1" s="2"/>
      <c r="I1" s="2"/>
      <c r="J1" s="2"/>
      <c r="K1" s="2"/>
      <c r="L1" s="2"/>
      <c r="M1" s="2"/>
    </row>
    <row r="2" customFormat="false" ht="15" hidden="false" customHeight="false" outlineLevel="0" collapsed="false">
      <c r="A2" s="3" t="s">
        <v>93</v>
      </c>
      <c r="B2" s="2"/>
      <c r="C2" s="2"/>
      <c r="D2" s="2"/>
      <c r="E2" s="2"/>
      <c r="F2" s="2"/>
      <c r="G2" s="2"/>
      <c r="H2" s="2"/>
      <c r="I2" s="2"/>
      <c r="J2" s="2"/>
      <c r="K2" s="2"/>
      <c r="L2" s="2"/>
      <c r="M2" s="2"/>
    </row>
    <row r="3" customFormat="false" ht="3.75" hidden="false" customHeight="true" outlineLevel="0" collapsed="false">
      <c r="A3" s="4"/>
      <c r="B3" s="4"/>
      <c r="C3" s="4"/>
      <c r="D3" s="4"/>
      <c r="E3" s="4"/>
      <c r="F3" s="4"/>
      <c r="G3" s="4"/>
      <c r="H3" s="4"/>
      <c r="I3" s="4"/>
      <c r="J3" s="4"/>
      <c r="K3" s="4"/>
      <c r="L3" s="4"/>
      <c r="M3" s="4"/>
    </row>
    <row r="5" customFormat="false" ht="23.85" hidden="false" customHeight="false" outlineLevel="0" collapsed="false">
      <c r="A5" s="12" t="s">
        <v>24</v>
      </c>
      <c r="B5" s="12" t="s">
        <v>25</v>
      </c>
      <c r="C5" s="12" t="s">
        <v>94</v>
      </c>
      <c r="D5" s="12" t="s">
        <v>83</v>
      </c>
      <c r="E5" s="12" t="s">
        <v>95</v>
      </c>
      <c r="F5" s="12" t="s">
        <v>96</v>
      </c>
      <c r="G5" s="12" t="s">
        <v>97</v>
      </c>
      <c r="H5" s="12" t="s">
        <v>98</v>
      </c>
      <c r="I5" s="12" t="s">
        <v>99</v>
      </c>
      <c r="J5" s="12" t="s">
        <v>100</v>
      </c>
      <c r="K5" s="12" t="s">
        <v>101</v>
      </c>
      <c r="L5" s="12" t="s">
        <v>102</v>
      </c>
    </row>
    <row r="6" customFormat="false" ht="90" hidden="false" customHeight="true" outlineLevel="0" collapsed="false">
      <c r="A6" s="16" t="s">
        <v>36</v>
      </c>
      <c r="B6" s="16" t="s">
        <v>37</v>
      </c>
      <c r="C6" s="16" t="s">
        <v>103</v>
      </c>
      <c r="D6" s="29" t="n">
        <v>46291</v>
      </c>
      <c r="E6" s="16" t="s">
        <v>38</v>
      </c>
      <c r="F6" s="16" t="s">
        <v>104</v>
      </c>
      <c r="G6" s="16" t="s">
        <v>105</v>
      </c>
      <c r="H6" s="17"/>
      <c r="I6" s="30"/>
      <c r="J6" s="17"/>
      <c r="K6" s="30" t="str">
        <f aca="false">IF(I6="","",I6+14)</f>
        <v/>
      </c>
      <c r="L6" s="17"/>
    </row>
    <row r="7" customFormat="false" ht="90" hidden="false" customHeight="true" outlineLevel="0" collapsed="false">
      <c r="A7" s="16" t="s">
        <v>36</v>
      </c>
      <c r="B7" s="16" t="s">
        <v>37</v>
      </c>
      <c r="C7" s="16" t="s">
        <v>106</v>
      </c>
      <c r="D7" s="29" t="n">
        <v>46296</v>
      </c>
      <c r="E7" s="16" t="s">
        <v>107</v>
      </c>
      <c r="F7" s="16" t="s">
        <v>108</v>
      </c>
      <c r="G7" s="16" t="s">
        <v>109</v>
      </c>
      <c r="H7" s="17"/>
      <c r="I7" s="30"/>
      <c r="J7" s="17"/>
      <c r="K7" s="30" t="str">
        <f aca="false">IF(I7="","",I7+14)</f>
        <v/>
      </c>
      <c r="L7" s="17"/>
    </row>
    <row r="8" customFormat="false" ht="90" hidden="false" customHeight="true" outlineLevel="0" collapsed="false">
      <c r="A8" s="16" t="s">
        <v>36</v>
      </c>
      <c r="B8" s="16" t="s">
        <v>37</v>
      </c>
      <c r="C8" s="16" t="s">
        <v>110</v>
      </c>
      <c r="D8" s="29" t="n">
        <v>46300</v>
      </c>
      <c r="E8" s="16" t="s">
        <v>38</v>
      </c>
      <c r="F8" s="16" t="s">
        <v>111</v>
      </c>
      <c r="G8" s="16" t="s">
        <v>105</v>
      </c>
      <c r="H8" s="17"/>
      <c r="I8" s="30"/>
      <c r="J8" s="17"/>
      <c r="K8" s="30" t="str">
        <f aca="false">IF(I8="","",I8+14)</f>
        <v/>
      </c>
      <c r="L8" s="17"/>
    </row>
    <row r="9" customFormat="false" ht="90" hidden="false" customHeight="true" outlineLevel="0" collapsed="false">
      <c r="A9" s="16" t="s">
        <v>42</v>
      </c>
      <c r="B9" s="16" t="s">
        <v>43</v>
      </c>
      <c r="C9" s="16" t="s">
        <v>112</v>
      </c>
      <c r="D9" s="29" t="n">
        <v>46293</v>
      </c>
      <c r="E9" s="16" t="s">
        <v>38</v>
      </c>
      <c r="F9" s="16" t="s">
        <v>113</v>
      </c>
      <c r="G9" s="16" t="s">
        <v>105</v>
      </c>
      <c r="H9" s="17"/>
      <c r="I9" s="30"/>
      <c r="J9" s="17"/>
      <c r="K9" s="30" t="str">
        <f aca="false">IF(I9="","",I9+14)</f>
        <v/>
      </c>
      <c r="L9" s="17"/>
    </row>
    <row r="10" customFormat="false" ht="90" hidden="false" customHeight="true" outlineLevel="0" collapsed="false">
      <c r="A10" s="16" t="s">
        <v>42</v>
      </c>
      <c r="B10" s="16" t="s">
        <v>43</v>
      </c>
      <c r="C10" s="16" t="s">
        <v>114</v>
      </c>
      <c r="D10" s="29" t="n">
        <v>46296</v>
      </c>
      <c r="E10" s="16" t="s">
        <v>38</v>
      </c>
      <c r="F10" s="16" t="s">
        <v>115</v>
      </c>
      <c r="G10" s="16" t="s">
        <v>105</v>
      </c>
      <c r="H10" s="17"/>
      <c r="I10" s="30"/>
      <c r="J10" s="17"/>
      <c r="K10" s="30" t="str">
        <f aca="false">IF(I10="","",I10+14)</f>
        <v/>
      </c>
      <c r="L10" s="17"/>
    </row>
    <row r="11" customFormat="false" ht="90" hidden="false" customHeight="true" outlineLevel="0" collapsed="false">
      <c r="A11" s="16" t="s">
        <v>45</v>
      </c>
      <c r="B11" s="16"/>
      <c r="C11" s="16" t="s">
        <v>116</v>
      </c>
      <c r="D11" s="29" t="n">
        <v>46293</v>
      </c>
      <c r="E11" s="16" t="s">
        <v>47</v>
      </c>
      <c r="F11" s="16" t="s">
        <v>117</v>
      </c>
      <c r="G11" s="16" t="s">
        <v>118</v>
      </c>
      <c r="H11" s="17"/>
      <c r="I11" s="30"/>
      <c r="J11" s="17"/>
      <c r="K11" s="30" t="str">
        <f aca="false">IF(I11="","",I11+14)</f>
        <v/>
      </c>
      <c r="L11" s="17"/>
    </row>
    <row r="12" customFormat="false" ht="90" hidden="false" customHeight="true" outlineLevel="0" collapsed="false">
      <c r="A12" s="16" t="s">
        <v>45</v>
      </c>
      <c r="B12" s="16"/>
      <c r="C12" s="16" t="s">
        <v>119</v>
      </c>
      <c r="D12" s="29" t="n">
        <v>46301</v>
      </c>
      <c r="E12" s="16" t="s">
        <v>62</v>
      </c>
      <c r="F12" s="16" t="s">
        <v>120</v>
      </c>
      <c r="G12" s="16" t="s">
        <v>121</v>
      </c>
      <c r="H12" s="17"/>
      <c r="I12" s="30"/>
      <c r="J12" s="17"/>
      <c r="K12" s="30" t="str">
        <f aca="false">IF(I12="","",I12+14)</f>
        <v/>
      </c>
      <c r="L12" s="17"/>
    </row>
    <row r="13" customFormat="false" ht="90" hidden="false" customHeight="true" outlineLevel="0" collapsed="false">
      <c r="A13" s="16" t="s">
        <v>49</v>
      </c>
      <c r="B13" s="16"/>
      <c r="C13" s="16" t="s">
        <v>122</v>
      </c>
      <c r="D13" s="29" t="n">
        <v>46300</v>
      </c>
      <c r="E13" s="16" t="s">
        <v>50</v>
      </c>
      <c r="F13" s="16" t="s">
        <v>123</v>
      </c>
      <c r="G13" s="16" t="s">
        <v>124</v>
      </c>
      <c r="H13" s="17"/>
      <c r="I13" s="30"/>
      <c r="J13" s="17"/>
      <c r="K13" s="30" t="str">
        <f aca="false">IF(I13="","",I13+14)</f>
        <v/>
      </c>
      <c r="L13" s="17"/>
    </row>
    <row r="14" customFormat="false" ht="90" hidden="false" customHeight="true" outlineLevel="0" collapsed="false">
      <c r="A14" s="16" t="s">
        <v>54</v>
      </c>
      <c r="B14" s="16"/>
      <c r="C14" s="16" t="s">
        <v>125</v>
      </c>
      <c r="D14" s="29" t="n">
        <v>46290</v>
      </c>
      <c r="E14" s="16" t="s">
        <v>38</v>
      </c>
      <c r="F14" s="16" t="s">
        <v>126</v>
      </c>
      <c r="G14" s="16" t="s">
        <v>105</v>
      </c>
      <c r="H14" s="17"/>
      <c r="I14" s="30"/>
      <c r="J14" s="17"/>
      <c r="K14" s="30" t="str">
        <f aca="false">IF(I14="","",I14+14)</f>
        <v/>
      </c>
      <c r="L14" s="17"/>
    </row>
    <row r="15" customFormat="false" ht="90" hidden="false" customHeight="true" outlineLevel="0" collapsed="false">
      <c r="A15" s="16" t="s">
        <v>56</v>
      </c>
      <c r="B15" s="16" t="s">
        <v>57</v>
      </c>
      <c r="C15" s="16" t="s">
        <v>127</v>
      </c>
      <c r="D15" s="29" t="n">
        <v>46295</v>
      </c>
      <c r="E15" s="16" t="s">
        <v>38</v>
      </c>
      <c r="F15" s="16" t="s">
        <v>128</v>
      </c>
      <c r="G15" s="16" t="s">
        <v>105</v>
      </c>
      <c r="H15" s="17"/>
      <c r="I15" s="30"/>
      <c r="J15" s="17"/>
      <c r="K15" s="30" t="str">
        <f aca="false">IF(I15="","",I15+14)</f>
        <v/>
      </c>
      <c r="L15" s="17"/>
    </row>
    <row r="16" customFormat="false" ht="90" hidden="false" customHeight="true" outlineLevel="0" collapsed="false">
      <c r="A16" s="16" t="s">
        <v>60</v>
      </c>
      <c r="B16" s="16" t="s">
        <v>61</v>
      </c>
      <c r="C16" s="16" t="s">
        <v>129</v>
      </c>
      <c r="D16" s="29" t="n">
        <v>46299</v>
      </c>
      <c r="E16" s="16" t="s">
        <v>62</v>
      </c>
      <c r="F16" s="16" t="s">
        <v>130</v>
      </c>
      <c r="G16" s="16" t="s">
        <v>121</v>
      </c>
      <c r="H16" s="17"/>
      <c r="I16" s="30"/>
      <c r="J16" s="17"/>
      <c r="K16" s="30" t="str">
        <f aca="false">IF(I16="","",I16+14)</f>
        <v/>
      </c>
      <c r="L16" s="17"/>
    </row>
    <row r="18" customFormat="false" ht="15" hidden="false" customHeight="false" outlineLevel="0" collapsed="false">
      <c r="A18" s="24" t="s">
        <v>131</v>
      </c>
    </row>
  </sheetData>
  <dataValidations count="1">
    <dataValidation allowBlank="true" errorStyle="stop" operator="between" showDropDown="false" showErrorMessage="false" showInputMessage="false" sqref="L6:L16" type="list">
      <formula1>"Open,Coached,Improved,Repeat"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2545"/>
    <pageSetUpPr fitToPage="false"/>
  </sheetPr>
  <dimension ref="A1:J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3" min="2" style="0" width="11"/>
    <col collapsed="false" customWidth="true" hidden="false" outlineLevel="0" max="4" min="4" style="0" width="14"/>
    <col collapsed="false" customWidth="true" hidden="false" outlineLevel="0" max="5" min="5" style="0" width="12"/>
    <col collapsed="false" customWidth="true" hidden="false" outlineLevel="0" max="7" min="6" style="0" width="22"/>
    <col collapsed="false" customWidth="true" hidden="false" outlineLevel="0" max="8" min="8" style="0" width="30"/>
    <col collapsed="false" customWidth="true" hidden="false" outlineLevel="0" max="9" min="9" style="0" width="80"/>
    <col collapsed="false" customWidth="true" hidden="false" outlineLevel="0" max="10" min="10" style="0" width="26"/>
  </cols>
  <sheetData>
    <row r="1" customFormat="false" ht="35.05" hidden="false" customHeight="false" outlineLevel="0" collapsed="false">
      <c r="A1" s="12" t="s">
        <v>132</v>
      </c>
      <c r="B1" s="12" t="s">
        <v>133</v>
      </c>
      <c r="C1" s="12" t="s">
        <v>83</v>
      </c>
      <c r="D1" s="12" t="s">
        <v>24</v>
      </c>
      <c r="E1" s="12" t="s">
        <v>134</v>
      </c>
      <c r="F1" s="12" t="s">
        <v>94</v>
      </c>
      <c r="G1" s="12" t="s">
        <v>135</v>
      </c>
      <c r="H1" s="12" t="s">
        <v>95</v>
      </c>
      <c r="I1" s="12" t="s">
        <v>136</v>
      </c>
      <c r="J1" s="12" t="s">
        <v>137</v>
      </c>
    </row>
    <row r="2" customFormat="false" ht="74.6" hidden="false" customHeight="false" outlineLevel="0" collapsed="false">
      <c r="A2" s="31" t="n">
        <v>2238</v>
      </c>
      <c r="B2" s="32" t="n">
        <v>46294</v>
      </c>
      <c r="C2" s="32" t="n">
        <v>46290</v>
      </c>
      <c r="D2" s="31" t="s">
        <v>54</v>
      </c>
      <c r="E2" s="31"/>
      <c r="F2" s="31" t="s">
        <v>125</v>
      </c>
      <c r="G2" s="31" t="s">
        <v>138</v>
      </c>
      <c r="H2" s="31" t="s">
        <v>38</v>
      </c>
      <c r="I2" s="33" t="s">
        <v>126</v>
      </c>
      <c r="J2" s="31" t="s">
        <v>139</v>
      </c>
    </row>
    <row r="3" customFormat="false" ht="74.6" hidden="false" customHeight="false" outlineLevel="0" collapsed="false">
      <c r="A3" s="31" t="n">
        <v>2295</v>
      </c>
      <c r="B3" s="32" t="n">
        <v>46301</v>
      </c>
      <c r="C3" s="32" t="n">
        <v>46297</v>
      </c>
      <c r="D3" s="31" t="s">
        <v>42</v>
      </c>
      <c r="E3" s="31" t="s">
        <v>43</v>
      </c>
      <c r="F3" s="31" t="s">
        <v>140</v>
      </c>
      <c r="G3" s="31" t="s">
        <v>141</v>
      </c>
      <c r="H3" s="31" t="s">
        <v>142</v>
      </c>
      <c r="I3" s="33" t="s">
        <v>143</v>
      </c>
      <c r="J3" s="31" t="s">
        <v>139</v>
      </c>
    </row>
    <row r="4" customFormat="false" ht="22.35" hidden="false" customHeight="false" outlineLevel="0" collapsed="false">
      <c r="A4" s="31" t="n">
        <v>2296</v>
      </c>
      <c r="B4" s="32" t="n">
        <v>46301</v>
      </c>
      <c r="C4" s="32" t="n">
        <v>46296</v>
      </c>
      <c r="D4" s="31" t="s">
        <v>42</v>
      </c>
      <c r="E4" s="31" t="s">
        <v>43</v>
      </c>
      <c r="F4" s="31" t="s">
        <v>114</v>
      </c>
      <c r="G4" s="31" t="s">
        <v>138</v>
      </c>
      <c r="H4" s="31" t="s">
        <v>38</v>
      </c>
      <c r="I4" s="33" t="s">
        <v>115</v>
      </c>
      <c r="J4" s="31" t="s">
        <v>139</v>
      </c>
    </row>
    <row r="5" customFormat="false" ht="43.25" hidden="false" customHeight="false" outlineLevel="0" collapsed="false">
      <c r="A5" s="31" t="n">
        <v>2299</v>
      </c>
      <c r="B5" s="32" t="n">
        <v>46301</v>
      </c>
      <c r="C5" s="32" t="n">
        <v>46296</v>
      </c>
      <c r="D5" s="31" t="s">
        <v>42</v>
      </c>
      <c r="E5" s="31" t="s">
        <v>43</v>
      </c>
      <c r="F5" s="31" t="s">
        <v>144</v>
      </c>
      <c r="G5" s="31" t="s">
        <v>141</v>
      </c>
      <c r="H5" s="31" t="s">
        <v>145</v>
      </c>
      <c r="I5" s="33" t="s">
        <v>146</v>
      </c>
      <c r="J5" s="31" t="s">
        <v>139</v>
      </c>
    </row>
    <row r="6" customFormat="false" ht="43.25" hidden="false" customHeight="false" outlineLevel="0" collapsed="false">
      <c r="A6" s="31" t="n">
        <v>2327</v>
      </c>
      <c r="B6" s="32" t="n">
        <v>46301</v>
      </c>
      <c r="C6" s="32" t="n">
        <v>46294</v>
      </c>
      <c r="D6" s="31" t="s">
        <v>42</v>
      </c>
      <c r="E6" s="31" t="s">
        <v>43</v>
      </c>
      <c r="F6" s="31" t="s">
        <v>147</v>
      </c>
      <c r="G6" s="31" t="s">
        <v>141</v>
      </c>
      <c r="H6" s="31" t="s">
        <v>145</v>
      </c>
      <c r="I6" s="33" t="s">
        <v>148</v>
      </c>
      <c r="J6" s="31" t="s">
        <v>139</v>
      </c>
    </row>
    <row r="7" customFormat="false" ht="22.35" hidden="false" customHeight="false" outlineLevel="0" collapsed="false">
      <c r="A7" s="31" t="n">
        <v>2330</v>
      </c>
      <c r="B7" s="32" t="n">
        <v>46301</v>
      </c>
      <c r="C7" s="32" t="n">
        <v>46293</v>
      </c>
      <c r="D7" s="31" t="s">
        <v>42</v>
      </c>
      <c r="E7" s="31" t="s">
        <v>43</v>
      </c>
      <c r="F7" s="31" t="s">
        <v>112</v>
      </c>
      <c r="G7" s="31" t="s">
        <v>138</v>
      </c>
      <c r="H7" s="31" t="s">
        <v>38</v>
      </c>
      <c r="I7" s="33" t="s">
        <v>113</v>
      </c>
      <c r="J7" s="31" t="s">
        <v>139</v>
      </c>
    </row>
    <row r="8" customFormat="false" ht="74.6" hidden="false" customHeight="false" outlineLevel="0" collapsed="false">
      <c r="A8" s="31" t="n">
        <v>2341</v>
      </c>
      <c r="B8" s="32" t="n">
        <v>46301</v>
      </c>
      <c r="C8" s="32" t="n">
        <v>46299</v>
      </c>
      <c r="D8" s="31" t="s">
        <v>60</v>
      </c>
      <c r="E8" s="31" t="s">
        <v>61</v>
      </c>
      <c r="F8" s="31" t="s">
        <v>129</v>
      </c>
      <c r="G8" s="31" t="s">
        <v>138</v>
      </c>
      <c r="H8" s="31" t="s">
        <v>62</v>
      </c>
      <c r="I8" s="33" t="s">
        <v>130</v>
      </c>
      <c r="J8" s="31" t="s">
        <v>139</v>
      </c>
    </row>
    <row r="9" customFormat="false" ht="22.35" hidden="false" customHeight="false" outlineLevel="0" collapsed="false">
      <c r="A9" s="31" t="n">
        <v>2342</v>
      </c>
      <c r="B9" s="32" t="n">
        <v>46301</v>
      </c>
      <c r="C9" s="32" t="n">
        <v>46298</v>
      </c>
      <c r="D9" s="31" t="s">
        <v>60</v>
      </c>
      <c r="E9" s="31" t="s">
        <v>61</v>
      </c>
      <c r="F9" s="31" t="s">
        <v>149</v>
      </c>
      <c r="G9" s="31" t="s">
        <v>28</v>
      </c>
      <c r="H9" s="31" t="s">
        <v>150</v>
      </c>
      <c r="I9" s="33" t="s">
        <v>151</v>
      </c>
      <c r="J9" s="31" t="s">
        <v>139</v>
      </c>
    </row>
    <row r="10" customFormat="false" ht="43.25" hidden="false" customHeight="false" outlineLevel="0" collapsed="false">
      <c r="A10" s="31" t="n">
        <v>2344</v>
      </c>
      <c r="B10" s="32" t="n">
        <v>46301</v>
      </c>
      <c r="C10" s="32" t="n">
        <v>46293</v>
      </c>
      <c r="D10" s="31" t="s">
        <v>60</v>
      </c>
      <c r="E10" s="31" t="s">
        <v>61</v>
      </c>
      <c r="F10" s="31" t="s">
        <v>152</v>
      </c>
      <c r="G10" s="31" t="s">
        <v>28</v>
      </c>
      <c r="H10" s="31" t="s">
        <v>153</v>
      </c>
      <c r="I10" s="33" t="s">
        <v>154</v>
      </c>
      <c r="J10" s="31" t="s">
        <v>139</v>
      </c>
    </row>
    <row r="11" customFormat="false" ht="32.8" hidden="false" customHeight="false" outlineLevel="0" collapsed="false">
      <c r="A11" s="31" t="n">
        <v>2345</v>
      </c>
      <c r="B11" s="32" t="n">
        <v>46301</v>
      </c>
      <c r="C11" s="32" t="n">
        <v>46292</v>
      </c>
      <c r="D11" s="31" t="s">
        <v>60</v>
      </c>
      <c r="E11" s="31" t="s">
        <v>61</v>
      </c>
      <c r="F11" s="31" t="s">
        <v>155</v>
      </c>
      <c r="G11" s="31" t="s">
        <v>28</v>
      </c>
      <c r="H11" s="31" t="s">
        <v>153</v>
      </c>
      <c r="I11" s="33" t="s">
        <v>156</v>
      </c>
      <c r="J11" s="31" t="s">
        <v>139</v>
      </c>
    </row>
    <row r="12" customFormat="false" ht="32.8" hidden="false" customHeight="false" outlineLevel="0" collapsed="false">
      <c r="A12" s="31" t="n">
        <v>2349</v>
      </c>
      <c r="B12" s="32" t="n">
        <v>46301</v>
      </c>
      <c r="C12" s="32" t="n">
        <v>46293</v>
      </c>
      <c r="D12" s="31" t="s">
        <v>45</v>
      </c>
      <c r="E12" s="31"/>
      <c r="F12" s="31" t="s">
        <v>116</v>
      </c>
      <c r="G12" s="31" t="s">
        <v>138</v>
      </c>
      <c r="H12" s="31" t="s">
        <v>47</v>
      </c>
      <c r="I12" s="33" t="s">
        <v>117</v>
      </c>
      <c r="J12" s="31" t="s">
        <v>139</v>
      </c>
    </row>
    <row r="13" customFormat="false" ht="32.8" hidden="false" customHeight="false" outlineLevel="0" collapsed="false">
      <c r="A13" s="31" t="n">
        <v>2352</v>
      </c>
      <c r="B13" s="32" t="n">
        <v>46301</v>
      </c>
      <c r="C13" s="32" t="n">
        <v>46292</v>
      </c>
      <c r="D13" s="31" t="s">
        <v>66</v>
      </c>
      <c r="E13" s="31" t="s">
        <v>67</v>
      </c>
      <c r="F13" s="31" t="s">
        <v>157</v>
      </c>
      <c r="G13" s="31" t="s">
        <v>28</v>
      </c>
      <c r="H13" s="31" t="s">
        <v>150</v>
      </c>
      <c r="I13" s="33" t="s">
        <v>158</v>
      </c>
      <c r="J13" s="31" t="s">
        <v>139</v>
      </c>
    </row>
    <row r="14" customFormat="false" ht="64.15" hidden="false" customHeight="false" outlineLevel="0" collapsed="false">
      <c r="A14" s="31" t="n">
        <v>2360</v>
      </c>
      <c r="B14" s="32" t="n">
        <v>46301</v>
      </c>
      <c r="C14" s="32" t="n">
        <v>46296</v>
      </c>
      <c r="D14" s="31" t="s">
        <v>56</v>
      </c>
      <c r="E14" s="31" t="s">
        <v>57</v>
      </c>
      <c r="F14" s="31" t="s">
        <v>159</v>
      </c>
      <c r="G14" s="31" t="s">
        <v>141</v>
      </c>
      <c r="H14" s="31" t="s">
        <v>160</v>
      </c>
      <c r="I14" s="33" t="s">
        <v>161</v>
      </c>
      <c r="J14" s="31" t="s">
        <v>139</v>
      </c>
    </row>
    <row r="15" customFormat="false" ht="32.8" hidden="false" customHeight="false" outlineLevel="0" collapsed="false">
      <c r="A15" s="31" t="n">
        <v>2363</v>
      </c>
      <c r="B15" s="32" t="n">
        <v>46301</v>
      </c>
      <c r="C15" s="32" t="n">
        <v>46295</v>
      </c>
      <c r="D15" s="31" t="s">
        <v>56</v>
      </c>
      <c r="E15" s="31" t="s">
        <v>57</v>
      </c>
      <c r="F15" s="31" t="s">
        <v>127</v>
      </c>
      <c r="G15" s="31" t="s">
        <v>138</v>
      </c>
      <c r="H15" s="31" t="s">
        <v>38</v>
      </c>
      <c r="I15" s="33" t="s">
        <v>128</v>
      </c>
      <c r="J15" s="31" t="s">
        <v>139</v>
      </c>
    </row>
    <row r="16" customFormat="false" ht="15" hidden="false" customHeight="false" outlineLevel="0" collapsed="false">
      <c r="A16" s="31" t="n">
        <v>2440</v>
      </c>
      <c r="B16" s="32" t="n">
        <v>46302</v>
      </c>
      <c r="C16" s="32" t="n">
        <v>46301</v>
      </c>
      <c r="D16" s="31" t="s">
        <v>45</v>
      </c>
      <c r="E16" s="31"/>
      <c r="F16" s="31" t="s">
        <v>119</v>
      </c>
      <c r="G16" s="31" t="s">
        <v>138</v>
      </c>
      <c r="H16" s="31" t="s">
        <v>62</v>
      </c>
      <c r="I16" s="33" t="s">
        <v>120</v>
      </c>
      <c r="J16" s="31" t="s">
        <v>139</v>
      </c>
    </row>
    <row r="17" customFormat="false" ht="53.7" hidden="false" customHeight="false" outlineLevel="0" collapsed="false">
      <c r="A17" s="31" t="n">
        <v>2442</v>
      </c>
      <c r="B17" s="32" t="n">
        <v>46302</v>
      </c>
      <c r="C17" s="32" t="n">
        <v>46300</v>
      </c>
      <c r="D17" s="31" t="s">
        <v>36</v>
      </c>
      <c r="E17" s="31" t="s">
        <v>37</v>
      </c>
      <c r="F17" s="31" t="s">
        <v>110</v>
      </c>
      <c r="G17" s="31" t="s">
        <v>138</v>
      </c>
      <c r="H17" s="31" t="s">
        <v>38</v>
      </c>
      <c r="I17" s="33" t="s">
        <v>111</v>
      </c>
      <c r="J17" s="31" t="s">
        <v>139</v>
      </c>
    </row>
    <row r="18" customFormat="false" ht="15" hidden="false" customHeight="false" outlineLevel="0" collapsed="false">
      <c r="A18" s="31" t="n">
        <v>2443</v>
      </c>
      <c r="B18" s="32" t="n">
        <v>46302</v>
      </c>
      <c r="C18" s="32" t="n">
        <v>46296</v>
      </c>
      <c r="D18" s="31" t="s">
        <v>36</v>
      </c>
      <c r="E18" s="31" t="s">
        <v>37</v>
      </c>
      <c r="F18" s="31" t="s">
        <v>106</v>
      </c>
      <c r="G18" s="31" t="s">
        <v>138</v>
      </c>
      <c r="H18" s="31" t="s">
        <v>107</v>
      </c>
      <c r="I18" s="33" t="s">
        <v>108</v>
      </c>
      <c r="J18" s="31" t="s">
        <v>139</v>
      </c>
    </row>
    <row r="19" customFormat="false" ht="15" hidden="false" customHeight="false" outlineLevel="0" collapsed="false">
      <c r="A19" s="31" t="n">
        <v>2480</v>
      </c>
      <c r="B19" s="32" t="n">
        <v>46302</v>
      </c>
      <c r="C19" s="32" t="n">
        <v>46293</v>
      </c>
      <c r="D19" s="31" t="s">
        <v>36</v>
      </c>
      <c r="E19" s="31" t="s">
        <v>37</v>
      </c>
      <c r="F19" s="31" t="s">
        <v>162</v>
      </c>
      <c r="G19" s="31" t="s">
        <v>141</v>
      </c>
      <c r="H19" s="31" t="s">
        <v>163</v>
      </c>
      <c r="I19" s="33" t="s">
        <v>164</v>
      </c>
      <c r="J19" s="31" t="s">
        <v>139</v>
      </c>
    </row>
    <row r="20" customFormat="false" ht="15" hidden="false" customHeight="false" outlineLevel="0" collapsed="false">
      <c r="A20" s="31" t="n">
        <v>2481</v>
      </c>
      <c r="B20" s="32" t="n">
        <v>46302</v>
      </c>
      <c r="C20" s="32" t="n">
        <v>46291</v>
      </c>
      <c r="D20" s="31" t="s">
        <v>36</v>
      </c>
      <c r="E20" s="31" t="s">
        <v>37</v>
      </c>
      <c r="F20" s="31" t="s">
        <v>103</v>
      </c>
      <c r="G20" s="31" t="s">
        <v>138</v>
      </c>
      <c r="H20" s="31" t="s">
        <v>38</v>
      </c>
      <c r="I20" s="33" t="s">
        <v>104</v>
      </c>
      <c r="J20" s="31" t="s">
        <v>139</v>
      </c>
    </row>
    <row r="21" customFormat="false" ht="43.25" hidden="false" customHeight="false" outlineLevel="0" collapsed="false">
      <c r="A21" s="31" t="n">
        <v>2482</v>
      </c>
      <c r="B21" s="32" t="n">
        <v>46302</v>
      </c>
      <c r="C21" s="32" t="n">
        <v>46301</v>
      </c>
      <c r="D21" s="31" t="s">
        <v>77</v>
      </c>
      <c r="E21" s="31" t="s">
        <v>57</v>
      </c>
      <c r="F21" s="31" t="s">
        <v>165</v>
      </c>
      <c r="G21" s="31" t="s">
        <v>141</v>
      </c>
      <c r="H21" s="31" t="s">
        <v>142</v>
      </c>
      <c r="I21" s="33" t="s">
        <v>166</v>
      </c>
      <c r="J21" s="31" t="s">
        <v>139</v>
      </c>
    </row>
    <row r="22" customFormat="false" ht="15" hidden="false" customHeight="false" outlineLevel="0" collapsed="false">
      <c r="A22" s="31" t="n">
        <v>2483</v>
      </c>
      <c r="B22" s="32" t="n">
        <v>46302</v>
      </c>
      <c r="C22" s="32" t="n">
        <v>46301</v>
      </c>
      <c r="D22" s="31" t="s">
        <v>72</v>
      </c>
      <c r="E22" s="31"/>
      <c r="F22" s="31" t="s">
        <v>167</v>
      </c>
      <c r="G22" s="31" t="s">
        <v>168</v>
      </c>
      <c r="H22" s="31"/>
      <c r="I22" s="33"/>
      <c r="J22" s="31" t="s">
        <v>139</v>
      </c>
    </row>
    <row r="23" customFormat="false" ht="15" hidden="false" customHeight="false" outlineLevel="0" collapsed="false">
      <c r="A23" s="31" t="n">
        <v>2485</v>
      </c>
      <c r="B23" s="32" t="n">
        <v>46302</v>
      </c>
      <c r="C23" s="32" t="n">
        <v>46301</v>
      </c>
      <c r="D23" s="31" t="s">
        <v>49</v>
      </c>
      <c r="E23" s="31"/>
      <c r="F23" s="31" t="s">
        <v>169</v>
      </c>
      <c r="G23" s="31" t="s">
        <v>168</v>
      </c>
      <c r="H23" s="31"/>
      <c r="I23" s="33"/>
      <c r="J23" s="31" t="s">
        <v>139</v>
      </c>
    </row>
    <row r="24" customFormat="false" ht="15" hidden="false" customHeight="false" outlineLevel="0" collapsed="false">
      <c r="A24" s="31" t="n">
        <v>2486</v>
      </c>
      <c r="B24" s="32" t="n">
        <v>46302</v>
      </c>
      <c r="C24" s="32" t="n">
        <v>46300</v>
      </c>
      <c r="D24" s="31" t="s">
        <v>49</v>
      </c>
      <c r="E24" s="31"/>
      <c r="F24" s="31" t="s">
        <v>122</v>
      </c>
      <c r="G24" s="31" t="s">
        <v>138</v>
      </c>
      <c r="H24" s="31" t="s">
        <v>50</v>
      </c>
      <c r="I24" s="33" t="s">
        <v>123</v>
      </c>
      <c r="J24" s="31" t="s">
        <v>139</v>
      </c>
    </row>
    <row r="25" customFormat="false" ht="32.8" hidden="false" customHeight="false" outlineLevel="0" collapsed="false">
      <c r="A25" s="31" t="n">
        <v>2487</v>
      </c>
      <c r="B25" s="32" t="n">
        <v>46302</v>
      </c>
      <c r="C25" s="32" t="n">
        <v>46301</v>
      </c>
      <c r="D25" s="31" t="s">
        <v>74</v>
      </c>
      <c r="E25" s="31" t="s">
        <v>75</v>
      </c>
      <c r="F25" s="31" t="s">
        <v>170</v>
      </c>
      <c r="G25" s="31" t="s">
        <v>141</v>
      </c>
      <c r="H25" s="31" t="s">
        <v>142</v>
      </c>
      <c r="I25" s="33" t="s">
        <v>171</v>
      </c>
      <c r="J25" s="31" t="s">
        <v>139</v>
      </c>
    </row>
    <row r="26" customFormat="false" ht="15" hidden="false" customHeight="false" outlineLevel="0" collapsed="false">
      <c r="A26" s="31" t="n">
        <v>2488</v>
      </c>
      <c r="B26" s="32" t="n">
        <v>46302</v>
      </c>
      <c r="C26" s="32" t="n">
        <v>46295</v>
      </c>
      <c r="D26" s="31" t="s">
        <v>74</v>
      </c>
      <c r="E26" s="31" t="s">
        <v>75</v>
      </c>
      <c r="F26" s="31" t="s">
        <v>172</v>
      </c>
      <c r="G26" s="31" t="s">
        <v>141</v>
      </c>
      <c r="H26" s="31" t="s">
        <v>160</v>
      </c>
      <c r="I26" s="33" t="s">
        <v>173</v>
      </c>
      <c r="J26" s="31" t="s">
        <v>139</v>
      </c>
    </row>
    <row r="27" customFormat="false" ht="15" hidden="false" customHeight="false" outlineLevel="0" collapsed="false">
      <c r="A27" s="31" t="n">
        <v>2489</v>
      </c>
      <c r="B27" s="32" t="n">
        <v>46302</v>
      </c>
      <c r="C27" s="32" t="n">
        <v>46300</v>
      </c>
      <c r="D27" s="31" t="s">
        <v>69</v>
      </c>
      <c r="E27" s="31"/>
      <c r="F27" s="31" t="s">
        <v>174</v>
      </c>
      <c r="G27" s="31" t="s">
        <v>141</v>
      </c>
      <c r="H27" s="31" t="s">
        <v>145</v>
      </c>
      <c r="I27" s="33" t="s">
        <v>175</v>
      </c>
      <c r="J27" s="31" t="s">
        <v>139</v>
      </c>
    </row>
    <row r="30" customFormat="false" ht="15" hidden="false" customHeight="false" outlineLevel="0" collapsed="false">
      <c r="A30" s="34" t="s">
        <v>176</v>
      </c>
    </row>
    <row r="31" customFormat="false" ht="15" hidden="false" customHeight="false" outlineLevel="0" collapsed="false">
      <c r="A31" s="35" t="n">
        <v>2422</v>
      </c>
      <c r="B31" s="35"/>
      <c r="C31" s="35"/>
      <c r="D31" s="35" t="s">
        <v>36</v>
      </c>
      <c r="E31" s="35"/>
      <c r="F31" s="35" t="s">
        <v>106</v>
      </c>
      <c r="G31" s="35" t="s">
        <v>141</v>
      </c>
      <c r="H31" s="35" t="s">
        <v>160</v>
      </c>
      <c r="I31" s="35"/>
      <c r="J31" s="35"/>
    </row>
    <row r="32" customFormat="false" ht="15" hidden="false" customHeight="false" outlineLevel="0" collapsed="false">
      <c r="A32" s="35" t="n">
        <v>2484</v>
      </c>
      <c r="B32" s="35"/>
      <c r="C32" s="35"/>
      <c r="D32" s="35" t="s">
        <v>49</v>
      </c>
      <c r="E32" s="35"/>
      <c r="F32" s="35" t="s">
        <v>169</v>
      </c>
      <c r="G32" s="35" t="s">
        <v>168</v>
      </c>
      <c r="H32" s="35"/>
      <c r="I32" s="35"/>
      <c r="J32" s="35"/>
    </row>
    <row r="34" customFormat="false" ht="15" hidden="false" customHeight="false" outlineLevel="0" collapsed="false">
      <c r="A34" s="36" t="s">
        <v>177</v>
      </c>
    </row>
  </sheetData>
  <autoFilter ref="A1:J2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2026-10-07T18:42:35Z</dcterms:created>
  <dc:creator>openpyxl</dc:creator>
  <dc:description/>
  <dc:language>en-US</dc:language>
  <cp:lastModifiedBy/>
  <dcterms:modified xsi:type="dcterms:W3CDTF">2026-10-07T18:42:37Z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